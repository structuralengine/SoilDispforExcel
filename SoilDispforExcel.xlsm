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sasa\Documents\SoilDispforExcel\"/>
    </mc:Choice>
  </mc:AlternateContent>
  <xr:revisionPtr revIDLastSave="0" documentId="13_ncr:1_{D47A62DC-BEF1-41FB-8B54-6764DAE1103F}" xr6:coauthVersionLast="45" xr6:coauthVersionMax="45" xr10:uidLastSave="{00000000-0000-0000-0000-000000000000}"/>
  <bookViews>
    <workbookView xWindow="-120" yWindow="-120" windowWidth="29040" windowHeight="15840" tabRatio="818" activeTab="1" xr2:uid="{00000000-000D-0000-FFFF-FFFF00000000}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functionGroups builtInGroupCount="19"/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1">'入力 (1)'!$A$1:$H$50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2" i="44" l="1"/>
  <c r="C33" i="44" s="1"/>
  <c r="C34" i="44" s="1"/>
  <c r="A112" i="53" l="1"/>
  <c r="A115" i="53"/>
  <c r="A114" i="53"/>
  <c r="A113" i="53"/>
  <c r="A111" i="53"/>
  <c r="A110" i="53"/>
  <c r="A109" i="53"/>
  <c r="A108" i="53"/>
  <c r="P78" i="53"/>
  <c r="Z70" i="53"/>
  <c r="U70" i="53"/>
  <c r="Q70" i="53"/>
  <c r="N70" i="53"/>
  <c r="H70" i="53"/>
  <c r="E70" i="53"/>
  <c r="A70" i="53"/>
  <c r="Z69" i="53"/>
  <c r="U69" i="53"/>
  <c r="Q69" i="53"/>
  <c r="N69" i="53"/>
  <c r="H69" i="53"/>
  <c r="A69" i="53" s="1"/>
  <c r="E69" i="53"/>
  <c r="Z68" i="53"/>
  <c r="U68" i="53"/>
  <c r="Q68" i="53"/>
  <c r="N68" i="53"/>
  <c r="H68" i="53"/>
  <c r="A68" i="53" s="1"/>
  <c r="E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A65" i="53" s="1"/>
  <c r="E65" i="53"/>
  <c r="Z64" i="53"/>
  <c r="U64" i="53"/>
  <c r="Q64" i="53"/>
  <c r="N64" i="53"/>
  <c r="H64" i="53"/>
  <c r="A64" i="53" s="1"/>
  <c r="E64" i="53"/>
  <c r="Z63" i="53"/>
  <c r="U63" i="53"/>
  <c r="Q63" i="53"/>
  <c r="N63" i="53"/>
  <c r="H63" i="53"/>
  <c r="A63" i="53" s="1"/>
  <c r="E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A60" i="53" s="1"/>
  <c r="E60" i="53"/>
  <c r="Z59" i="53"/>
  <c r="U59" i="53"/>
  <c r="Q59" i="53"/>
  <c r="N59" i="53"/>
  <c r="H59" i="53"/>
  <c r="A59" i="53" s="1"/>
  <c r="E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A57" i="53" s="1"/>
  <c r="E57" i="53"/>
  <c r="Z56" i="53"/>
  <c r="U56" i="53"/>
  <c r="Q56" i="53"/>
  <c r="N56" i="53"/>
  <c r="H56" i="53"/>
  <c r="A56" i="53" s="1"/>
  <c r="E56" i="53"/>
  <c r="Z55" i="53"/>
  <c r="U55" i="53"/>
  <c r="Q55" i="53"/>
  <c r="N55" i="53"/>
  <c r="H55" i="53"/>
  <c r="A55" i="53" s="1"/>
  <c r="E55" i="53"/>
  <c r="Z54" i="53"/>
  <c r="U54" i="53"/>
  <c r="Q54" i="53"/>
  <c r="N54" i="53"/>
  <c r="H54" i="53"/>
  <c r="A54" i="53" s="1"/>
  <c r="E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A51" i="53" s="1"/>
  <c r="E51" i="53"/>
  <c r="Z50" i="53"/>
  <c r="U50" i="53"/>
  <c r="Q50" i="53"/>
  <c r="N50" i="53"/>
  <c r="H50" i="53"/>
  <c r="A50" i="53" s="1"/>
  <c r="E50" i="53"/>
  <c r="Z49" i="53"/>
  <c r="U49" i="53"/>
  <c r="Q49" i="53"/>
  <c r="N49" i="53"/>
  <c r="H49" i="53"/>
  <c r="A49" i="53" s="1"/>
  <c r="E49" i="53"/>
  <c r="Z48" i="53"/>
  <c r="U48" i="53"/>
  <c r="Q48" i="53"/>
  <c r="N48" i="53"/>
  <c r="H48" i="53"/>
  <c r="A48" i="53" s="1"/>
  <c r="E48" i="53"/>
  <c r="Z47" i="53"/>
  <c r="U47" i="53"/>
  <c r="Q47" i="53"/>
  <c r="N47" i="53"/>
  <c r="H47" i="53"/>
  <c r="A47" i="53" s="1"/>
  <c r="E47" i="53"/>
  <c r="Z46" i="53"/>
  <c r="U46" i="53"/>
  <c r="Q46" i="53"/>
  <c r="N46" i="53"/>
  <c r="H46" i="53"/>
  <c r="A46" i="53" s="1"/>
  <c r="E46" i="53"/>
  <c r="Z45" i="53"/>
  <c r="U45" i="53"/>
  <c r="Q45" i="53"/>
  <c r="N45" i="53"/>
  <c r="H45" i="53"/>
  <c r="A45" i="53" s="1"/>
  <c r="E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A42" i="53" s="1"/>
  <c r="E42" i="53"/>
  <c r="Z41" i="53"/>
  <c r="U41" i="53"/>
  <c r="Q41" i="53"/>
  <c r="N41" i="53"/>
  <c r="H41" i="53"/>
  <c r="A41" i="53" s="1"/>
  <c r="E41" i="53"/>
  <c r="Z40" i="53"/>
  <c r="U40" i="53"/>
  <c r="Q40" i="53"/>
  <c r="N40" i="53"/>
  <c r="H40" i="53"/>
  <c r="A40" i="53" s="1"/>
  <c r="E40" i="53"/>
  <c r="Z39" i="53"/>
  <c r="U39" i="53"/>
  <c r="Q39" i="53"/>
  <c r="N39" i="53"/>
  <c r="H39" i="53"/>
  <c r="A39" i="53" s="1"/>
  <c r="E39" i="53"/>
  <c r="Z38" i="53"/>
  <c r="U38" i="53"/>
  <c r="Q38" i="53"/>
  <c r="N38" i="53"/>
  <c r="H38" i="53"/>
  <c r="A38" i="53" s="1"/>
  <c r="E38" i="53"/>
  <c r="Z37" i="53"/>
  <c r="U37" i="53"/>
  <c r="Q37" i="53"/>
  <c r="N37" i="53"/>
  <c r="H37" i="53"/>
  <c r="A37" i="53" s="1"/>
  <c r="E37" i="53"/>
  <c r="Z36" i="53"/>
  <c r="U36" i="53"/>
  <c r="Q36" i="53"/>
  <c r="N36" i="53"/>
  <c r="H36" i="53"/>
  <c r="A36" i="53" s="1"/>
  <c r="E36" i="53"/>
  <c r="Z35" i="53"/>
  <c r="U35" i="53"/>
  <c r="Q35" i="53"/>
  <c r="N35" i="53"/>
  <c r="H35" i="53"/>
  <c r="A35" i="53" s="1"/>
  <c r="E35" i="53"/>
  <c r="Z34" i="53"/>
  <c r="U34" i="53"/>
  <c r="Q34" i="53"/>
  <c r="N34" i="53"/>
  <c r="H34" i="53"/>
  <c r="A34" i="53" s="1"/>
  <c r="E34" i="53"/>
  <c r="Z33" i="53"/>
  <c r="U33" i="53"/>
  <c r="Q33" i="53"/>
  <c r="N33" i="53"/>
  <c r="H33" i="53"/>
  <c r="A33" i="53" s="1"/>
  <c r="E33" i="53"/>
  <c r="Z32" i="53"/>
  <c r="U32" i="53"/>
  <c r="Q32" i="53"/>
  <c r="N32" i="53"/>
  <c r="H32" i="53"/>
  <c r="A32" i="53" s="1"/>
  <c r="E32" i="53"/>
  <c r="Z31" i="53"/>
  <c r="U31" i="53"/>
  <c r="Q31" i="53"/>
  <c r="N31" i="53"/>
  <c r="H31" i="53"/>
  <c r="A31" i="53" s="1"/>
  <c r="E31" i="53"/>
  <c r="Z30" i="53"/>
  <c r="U30" i="53"/>
  <c r="Q30" i="53"/>
  <c r="N30" i="53"/>
  <c r="H30" i="53"/>
  <c r="A30" i="53" s="1"/>
  <c r="E30" i="53"/>
  <c r="Z29" i="53"/>
  <c r="U29" i="53"/>
  <c r="Q29" i="53"/>
  <c r="N29" i="53"/>
  <c r="H29" i="53"/>
  <c r="A29" i="53" s="1"/>
  <c r="E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A27" i="53" s="1"/>
  <c r="E27" i="53"/>
  <c r="Z26" i="53"/>
  <c r="U26" i="53"/>
  <c r="Q26" i="53"/>
  <c r="N26" i="53"/>
  <c r="H26" i="53"/>
  <c r="A26" i="53" s="1"/>
  <c r="E26" i="53"/>
  <c r="Z25" i="53"/>
  <c r="U25" i="53"/>
  <c r="Q25" i="53"/>
  <c r="N25" i="53"/>
  <c r="H25" i="53"/>
  <c r="A25" i="53" s="1"/>
  <c r="E25" i="53"/>
  <c r="Z24" i="53"/>
  <c r="U24" i="53"/>
  <c r="Q24" i="53"/>
  <c r="N24" i="53"/>
  <c r="H24" i="53"/>
  <c r="A24" i="53" s="1"/>
  <c r="E24" i="53"/>
  <c r="Z23" i="53"/>
  <c r="U23" i="53"/>
  <c r="Q23" i="53"/>
  <c r="N23" i="53"/>
  <c r="H23" i="53"/>
  <c r="A23" i="53" s="1"/>
  <c r="E23" i="53"/>
  <c r="Z22" i="53"/>
  <c r="U22" i="53"/>
  <c r="Q22" i="53"/>
  <c r="N22" i="53"/>
  <c r="H22" i="53"/>
  <c r="A22" i="53" s="1"/>
  <c r="E22" i="53"/>
  <c r="Z21" i="53"/>
  <c r="U21" i="53"/>
  <c r="Q21" i="53"/>
  <c r="N21" i="53"/>
  <c r="H21" i="53"/>
  <c r="A21" i="53" s="1"/>
  <c r="E21" i="53"/>
  <c r="Z20" i="53"/>
  <c r="U20" i="53"/>
  <c r="Q20" i="53"/>
  <c r="N20" i="53"/>
  <c r="H20" i="53"/>
  <c r="A20" i="53" s="1"/>
  <c r="E20" i="53"/>
  <c r="Z19" i="53"/>
  <c r="U19" i="53"/>
  <c r="Q19" i="53"/>
  <c r="N19" i="53"/>
  <c r="H19" i="53"/>
  <c r="A19" i="53" s="1"/>
  <c r="E19" i="53"/>
  <c r="Z18" i="53"/>
  <c r="U18" i="53"/>
  <c r="Q18" i="53"/>
  <c r="N18" i="53"/>
  <c r="H18" i="53"/>
  <c r="A18" i="53" s="1"/>
  <c r="E18" i="53"/>
  <c r="Z17" i="53"/>
  <c r="U17" i="53"/>
  <c r="Q17" i="53"/>
  <c r="N17" i="53"/>
  <c r="H17" i="53"/>
  <c r="A17" i="53" s="1"/>
  <c r="E17" i="53"/>
  <c r="Z16" i="53"/>
  <c r="U16" i="53"/>
  <c r="Q16" i="53"/>
  <c r="N16" i="53"/>
  <c r="H16" i="53"/>
  <c r="A16" i="53" s="1"/>
  <c r="E16" i="53"/>
  <c r="Z15" i="53"/>
  <c r="U15" i="53"/>
  <c r="Q15" i="53"/>
  <c r="N15" i="53"/>
  <c r="H15" i="53"/>
  <c r="A15" i="53" s="1"/>
  <c r="E15" i="53"/>
  <c r="Z14" i="53"/>
  <c r="U14" i="53"/>
  <c r="Q14" i="53"/>
  <c r="N14" i="53"/>
  <c r="H14" i="53"/>
  <c r="A14" i="53" s="1"/>
  <c r="E14" i="53"/>
  <c r="Z13" i="53"/>
  <c r="U13" i="53"/>
  <c r="Q13" i="53"/>
  <c r="N13" i="53"/>
  <c r="H13" i="53"/>
  <c r="A13" i="53" s="1"/>
  <c r="E13" i="53"/>
  <c r="Z12" i="53"/>
  <c r="U12" i="53"/>
  <c r="Q12" i="53"/>
  <c r="N12" i="53"/>
  <c r="H12" i="53"/>
  <c r="E12" i="53"/>
  <c r="T109" i="53" l="1"/>
  <c r="T111" i="53" s="1"/>
  <c r="K70" i="53"/>
  <c r="T113" i="53"/>
  <c r="T114" i="53" s="1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0" i="53" l="1"/>
  <c r="T115" i="53"/>
</calcChain>
</file>

<file path=xl/sharedStrings.xml><?xml version="1.0" encoding="utf-8"?>
<sst xmlns="http://schemas.openxmlformats.org/spreadsheetml/2006/main" count="185" uniqueCount="124">
  <si>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</si>
  <si>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</si>
  <si>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</si>
  <si>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</si>
  <si>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</si>
  <si>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</si>
  <si>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</si>
  <si>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</si>
  <si>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</si>
  <si>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</si>
  <si>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</si>
  <si>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</si>
  <si>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</si>
  <si>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</si>
  <si>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</si>
  <si>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</si>
  <si>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</si>
  <si>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</si>
  <si>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</si>
  <si>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</si>
  <si>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</si>
  <si>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</si>
  <si>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</si>
  <si>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</si>
  <si>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</si>
  <si>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</si>
  <si>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</si>
  <si>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</si>
  <si>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</si>
  <si>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</si>
  <si>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</si>
  <si>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</si>
  <si>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</si>
  <si>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</si>
  <si>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</si>
  <si>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</si>
  <si>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</si>
  <si>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</si>
  <si>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</si>
  <si>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</si>
  <si>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</si>
  <si>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</si>
  <si>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</si>
  <si>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</si>
  <si>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</si>
  <si>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</si>
  <si>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</si>
  <si>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</si>
  <si>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</si>
  <si>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</si>
  <si>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</si>
  <si>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</si>
  <si>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</si>
  <si>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</si>
  <si>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</si>
  <si>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</si>
  <si>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</si>
  <si>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</si>
  <si>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</si>
  <si>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</si>
  <si>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</si>
  <si>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</si>
  <si>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</si>
  <si>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</si>
  <si>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</si>
  <si>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</si>
  <si>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</si>
  <si>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</si>
  <si>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</si>
  <si>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</si>
  <si>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</si>
  <si>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</si>
  <si>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</si>
  <si>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</si>
  <si>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</si>
  <si>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</si>
  <si>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</si>
  <si>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</si>
  <si>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</si>
  <si>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</si>
  <si>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</si>
  <si>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</si>
  <si>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</si>
  <si>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</si>
  <si>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</si>
  <si>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</si>
  <si>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</si>
  <si>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</si>
  <si>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</si>
  <si>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</si>
  <si>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</si>
  <si>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</si>
  <si>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</si>
  <si>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</si>
  <si>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</si>
  <si>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</si>
  <si>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</si>
  <si>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</si>
  <si>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</si>
  <si>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</si>
  <si>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</si>
  <si>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</si>
  <si>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</si>
  <si>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</si>
  <si>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</si>
  <si>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</si>
  <si>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</si>
  <si>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</si>
  <si>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</si>
  <si>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</si>
  <si>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</si>
  <si>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</si>
  <si>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</si>
  <si>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</si>
  <si>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</si>
  <si>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</si>
  <si>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</si>
  <si>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</si>
  <si>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</si>
  <si>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</si>
  <si>
    <t>ρm=1.0</t>
    <phoneticPr fontId="2"/>
  </si>
  <si>
    <t>ρm=1.2</t>
    <phoneticPr fontId="2"/>
  </si>
  <si>
    <t>E:\Documents\Visual Studio 2017\Projects\username</t>
    <phoneticPr fontId="2"/>
  </si>
  <si>
    <t>E:\Documents\Visual Studio 2017\Projects\password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</si>
</sst>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72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24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4" fillId="0" borderId="26" xfId="6" applyFont="1" applyFill="1" applyBorder="1" applyAlignment="1" applyProtection="1">
      <alignment horizontal="center" vertical="center"/>
      <protection locked="0"/>
    </xf>
    <xf numFmtId="0" fontId="4" fillId="0" borderId="25" xfId="6" applyFont="1" applyFill="1" applyBorder="1" applyAlignment="1" applyProtection="1">
      <alignment horizontal="center" vertical="center"/>
      <protection locked="0"/>
    </xf>
    <xf numFmtId="0" fontId="21" fillId="0" borderId="4" xfId="0" applyFont="1" applyFill="1" applyBorder="1" applyAlignment="1" applyProtection="1">
      <alignment horizont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5" xfId="6" applyNumberFormat="1" applyFont="1" applyFill="1" applyBorder="1" applyAlignment="1" applyProtection="1">
      <protection locked="0"/>
    </xf>
    <xf numFmtId="176" fontId="18" fillId="0" borderId="5" xfId="6" applyNumberFormat="1" applyFont="1" applyFill="1" applyBorder="1" applyAlignment="1" applyProtection="1">
      <alignment horizontal="center"/>
      <protection locked="0"/>
    </xf>
    <xf numFmtId="176" fontId="18" fillId="0" borderId="6" xfId="6" applyNumberFormat="1" applyFont="1" applyFill="1" applyBorder="1" applyAlignment="1" applyProtection="1">
      <alignment horizontal="center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4" fillId="0" borderId="12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5" xfId="0" applyNumberFormat="1" applyFont="1" applyBorder="1" applyAlignment="1" applyProtection="1">
      <alignment horizontal="center"/>
      <protection locked="0"/>
    </xf>
    <xf numFmtId="0" fontId="7" fillId="0" borderId="15" xfId="0" applyNumberFormat="1" applyFont="1" applyBorder="1" applyAlignment="1" applyProtection="1">
      <alignment horizontal="center"/>
      <protection locked="0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6" xfId="0" applyNumberFormat="1" applyFont="1" applyBorder="1" applyAlignment="1" applyProtection="1">
      <alignment horizont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16" xfId="6" applyFont="1" applyFill="1" applyBorder="1" applyAlignment="1" applyProtection="1">
      <alignment horizontal="center" vertical="center"/>
      <protection locked="0"/>
    </xf>
    <xf numFmtId="0" fontId="7" fillId="0" borderId="4" xfId="0" applyNumberFormat="1" applyFont="1" applyBorder="1" applyAlignment="1" applyProtection="1">
      <alignment horizont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3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2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23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17" xfId="0" applyNumberFormat="1" applyFont="1" applyFill="1" applyBorder="1" applyAlignment="1" applyProtection="1"/>
    <xf numFmtId="181" fontId="25" fillId="2" borderId="12" xfId="0" applyNumberFormat="1" applyFont="1" applyFill="1" applyBorder="1" applyAlignment="1" applyProtection="1"/>
    <xf numFmtId="181" fontId="25" fillId="2" borderId="20" xfId="0" applyNumberFormat="1" applyFont="1" applyFill="1" applyBorder="1" applyAlignment="1" applyProtection="1"/>
    <xf numFmtId="181" fontId="25" fillId="2" borderId="4" xfId="0" applyNumberFormat="1" applyFont="1" applyFill="1" applyBorder="1" applyAlignment="1" applyProtection="1"/>
    <xf numFmtId="181" fontId="25" fillId="2" borderId="5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6" xfId="0" applyNumberFormat="1" applyFont="1" applyFill="1" applyBorder="1" applyAlignment="1" applyProtection="1"/>
    <xf numFmtId="0" fontId="4" fillId="0" borderId="44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38" xfId="0" applyNumberFormat="1" applyFont="1" applyBorder="1" applyAlignment="1" applyProtection="1">
      <alignment horizontal="left" indent="1"/>
      <protection locked="0"/>
    </xf>
    <xf numFmtId="0" fontId="21" fillId="0" borderId="39" xfId="0" applyNumberFormat="1" applyFont="1" applyBorder="1" applyAlignment="1" applyProtection="1">
      <alignment horizontal="left" indent="1"/>
      <protection locked="0"/>
    </xf>
    <xf numFmtId="0" fontId="21" fillId="0" borderId="40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17" xfId="0" applyNumberFormat="1" applyFont="1" applyFill="1" applyBorder="1" applyAlignment="1" applyProtection="1">
      <alignment horizontal="center"/>
      <protection locked="0"/>
    </xf>
    <xf numFmtId="0" fontId="4" fillId="0" borderId="35" xfId="8" applyFont="1" applyBorder="1"/>
    <xf numFmtId="0" fontId="7" fillId="0" borderId="44" xfId="0" applyFont="1" applyFill="1" applyBorder="1" applyAlignment="1">
      <alignment horizontal="left" vertical="center"/>
    </xf>
    <xf numFmtId="0" fontId="4" fillId="0" borderId="1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5" xfId="6" applyFont="1" applyFill="1" applyBorder="1" applyAlignment="1" applyProtection="1">
      <alignment horizontal="center" vertical="center"/>
      <protection locked="0"/>
    </xf>
    <xf numFmtId="0" fontId="4" fillId="0" borderId="2" xfId="6" applyFont="1" applyFill="1" applyBorder="1" applyAlignment="1" applyProtection="1">
      <alignment horizontal="center" vertical="center" wrapText="1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4" fillId="0" borderId="3" xfId="6" applyFont="1" applyFill="1" applyBorder="1" applyAlignment="1" applyProtection="1">
      <alignment horizontal="center" vertical="center" wrapText="1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28" xfId="0" applyFont="1" applyFill="1" applyBorder="1" applyAlignment="1" applyProtection="1">
      <alignment horizontal="center" vertical="center" wrapText="1"/>
      <protection locked="0"/>
    </xf>
    <xf numFmtId="0" fontId="7" fillId="0" borderId="34" xfId="0" applyNumberFormat="1" applyFont="1" applyBorder="1" applyAlignment="1" applyProtection="1">
      <alignment horizontal="left" vertical="center" wrapText="1" inden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36" xfId="0" applyNumberFormat="1" applyFont="1" applyBorder="1" applyAlignment="1" applyProtection="1">
      <alignment horizontal="left" vertical="center" wrapText="1" indent="1"/>
      <protection locked="0"/>
    </xf>
    <xf numFmtId="0" fontId="7" fillId="0" borderId="44" xfId="0" applyNumberFormat="1" applyFont="1" applyBorder="1" applyAlignment="1">
      <alignment horizontal="center"/>
    </xf>
    <xf numFmtId="0" fontId="22" fillId="0" borderId="1" xfId="4" applyFont="1" applyBorder="1" applyAlignment="1">
      <alignment horizontal="center" vertic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7" fillId="0" borderId="14" xfId="0" applyNumberFormat="1" applyFont="1" applyBorder="1" applyAlignment="1" applyProtection="1">
      <alignment horizontal="center" wrapText="1"/>
      <protection locked="0"/>
    </xf>
    <xf numFmtId="0" fontId="7" fillId="0" borderId="30" xfId="0" applyNumberFormat="1" applyFont="1" applyBorder="1" applyAlignment="1" applyProtection="1">
      <alignment horizontal="center" wrapText="1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181" fontId="4" fillId="3" borderId="0" xfId="0" applyNumberFormat="1" applyFont="1" applyFill="1" applyBorder="1" applyAlignment="1" applyProtection="1">
      <alignment horizontal="center"/>
    </xf>
    <xf numFmtId="0" fontId="4" fillId="0" borderId="0" xfId="8" applyFont="1"/>
    <xf numFmtId="182" fontId="4" fillId="3" borderId="0" xfId="8" applyNumberFormat="1" applyFont="1" applyFill="1" applyAlignment="1">
      <alignment horizontal="right"/>
    </xf>
    <xf numFmtId="0" fontId="4" fillId="0" borderId="0" xfId="8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176" fontId="4" fillId="0" borderId="0" xfId="8" applyNumberFormat="1" applyFont="1" applyAlignment="1"/>
    <xf numFmtId="0" fontId="4" fillId="0" borderId="0" xfId="8" applyFont="1" applyAlignment="1">
      <alignment horizontal="right"/>
    </xf>
    <xf numFmtId="0" fontId="4" fillId="0" borderId="0" xfId="8" applyFont="1" applyAlignment="1">
      <alignment horizontal="center" vertical="center"/>
    </xf>
    <xf numFmtId="0" fontId="4" fillId="0" borderId="31" xfId="8" applyFont="1" applyBorder="1" applyAlignment="1">
      <alignment horizontal="center"/>
    </xf>
    <xf numFmtId="0" fontId="4" fillId="0" borderId="32" xfId="8" applyFont="1" applyBorder="1" applyAlignment="1">
      <alignment horizontal="center" vertical="top"/>
    </xf>
    <xf numFmtId="176" fontId="4" fillId="0" borderId="0" xfId="8" quotePrefix="1" applyNumberFormat="1" applyFont="1" applyAlignment="1">
      <alignment horizontal="center"/>
    </xf>
    <xf numFmtId="2" fontId="27" fillId="0" borderId="38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2" xfId="8" applyFont="1" applyBorder="1" applyAlignment="1">
      <alignment horizontal="center" vertical="center"/>
    </xf>
    <xf numFmtId="180" fontId="4" fillId="0" borderId="39" xfId="8" applyNumberFormat="1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180" fontId="4" fillId="3" borderId="39" xfId="8" applyNumberFormat="1" applyFont="1" applyFill="1" applyBorder="1" applyAlignment="1">
      <alignment horizontal="center" vertical="center"/>
    </xf>
    <xf numFmtId="180" fontId="4" fillId="3" borderId="42" xfId="8" applyNumberFormat="1" applyFont="1" applyFill="1" applyBorder="1" applyAlignment="1">
      <alignment horizontal="center" vertical="center"/>
    </xf>
    <xf numFmtId="180" fontId="27" fillId="3" borderId="0" xfId="8" applyNumberFormat="1" applyFont="1" applyFill="1" applyBorder="1" applyAlignment="1">
      <alignment horizontal="right" vertical="center"/>
    </xf>
    <xf numFmtId="0" fontId="4" fillId="0" borderId="33" xfId="8" applyFont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5" xfId="8" applyFont="1" applyBorder="1" applyAlignment="1">
      <alignment horizontal="center" vertical="center"/>
    </xf>
    <xf numFmtId="0" fontId="4" fillId="0" borderId="3" xfId="8" applyFont="1" applyBorder="1" applyAlignment="1">
      <alignment horizontal="center" vertical="center"/>
    </xf>
    <xf numFmtId="0" fontId="4" fillId="0" borderId="41" xfId="8" applyFont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3" xfId="8" applyFont="1" applyBorder="1" applyAlignment="1">
      <alignment horizontal="center" vertical="center"/>
    </xf>
    <xf numFmtId="180" fontId="4" fillId="3" borderId="40" xfId="8" applyNumberFormat="1" applyFont="1" applyFill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0" fontId="4" fillId="0" borderId="13" xfId="8" applyFont="1" applyBorder="1" applyAlignment="1">
      <alignment horizontal="center" vertical="center"/>
    </xf>
    <xf numFmtId="0" fontId="4" fillId="0" borderId="31" xfId="8" applyFont="1" applyBorder="1" applyAlignment="1">
      <alignment horizontal="center" vertical="center"/>
    </xf>
    <xf numFmtId="2" fontId="27" fillId="0" borderId="45" xfId="8" applyNumberFormat="1" applyFont="1" applyBorder="1" applyAlignment="1">
      <alignment horizontal="center" vertical="center"/>
    </xf>
    <xf numFmtId="2" fontId="27" fillId="0" borderId="31" xfId="8" applyNumberFormat="1" applyFont="1" applyBorder="1" applyAlignment="1">
      <alignment horizontal="center" vertical="center"/>
    </xf>
    <xf numFmtId="0" fontId="21" fillId="0" borderId="4" xfId="0" applyFont="1" applyBorder="1" applyAlignment="1" applyProtection="1">
      <alignment horizontal="center"/>
      <protection locked="0"/>
    </xf>
    <xf numFmtId="179" fontId="18" fillId="0" borderId="5" xfId="6" applyNumberFormat="1" applyFont="1" applyBorder="1" applyAlignment="1" applyProtection="1">
      <protection locked="0"/>
    </xf>
    <xf numFmtId="176" fontId="18" fillId="0" borderId="5" xfId="6" applyNumberFormat="1" applyFont="1" applyBorder="1" applyAlignment="1" applyProtection="1">
      <alignment horizontal="center"/>
      <protection locked="0"/>
    </xf>
    <xf numFmtId="176" fontId="18" fillId="0" borderId="6" xfId="6" applyNumberFormat="1" applyFont="1" applyBorder="1" applyAlignment="1" applyProtection="1">
      <alignment horizontal="center"/>
      <protection locked="0"/>
    </xf>
  </cellXfs>
  <cellStyles count="9">
    <cellStyle name="ハイパーリンク" xfId="2" builtinId="8"/>
    <cellStyle name="標準" xfId="0" builtinId="0"/>
    <cellStyle name="標準 2" xfId="3" xr:uid="{00000000-0005-0000-0000-000002000000}"/>
    <cellStyle name="標準 3" xfId="4" xr:uid="{00000000-0005-0000-0000-000003000000}"/>
    <cellStyle name="標準_600_断面性照査" xfId="1" xr:uid="{00000000-0005-0000-0000-000004000000}"/>
    <cellStyle name="標準_応答変位の補正値算出" xfId="8" xr:uid="{00000000-0005-0000-0000-000005000000}"/>
    <cellStyle name="標準_構造計算書20070627(2)" xfId="5" xr:uid="{00000000-0005-0000-0000-000006000000}"/>
    <cellStyle name="標準_地盤条件の設定_ＣＦＴ門型ラーメン橋脚設計計算書" xfId="6" xr:uid="{00000000-0005-0000-0000-000007000000}"/>
    <cellStyle name="標準_地盤条件の設定_ＣＦＴ門型ラーメン橋脚設計計算書_土質条件の設定" xfId="7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10</xdr:col>
      <xdr:colOff>459441</xdr:colOff>
      <xdr:row>55</xdr:row>
      <xdr:rowOff>89647</xdr:rowOff>
    </xdr:to>
    <xdr:sp macro="" textlink="">
      <xdr:nvSpPr>
        <xdr:cNvPr id="18" name="Text Box 6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5994267" y="9519318"/>
          <a:ext cx="3205762" cy="2185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サーバーから受け取った応答変異量の計算結果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9525</xdr:rowOff>
        </xdr:from>
        <xdr:to>
          <xdr:col>6</xdr:col>
          <xdr:colOff>333375</xdr:colOff>
          <xdr:row>89</xdr:row>
          <xdr:rowOff>171450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55</xdr:row>
          <xdr:rowOff>152400</xdr:rowOff>
        </xdr:from>
        <xdr:to>
          <xdr:col>11</xdr:col>
          <xdr:colOff>695325</xdr:colOff>
          <xdr:row>89</xdr:row>
          <xdr:rowOff>104775</xdr:rowOff>
        </xdr:to>
        <xdr:sp macro="" textlink="">
          <xdr:nvSpPr>
            <xdr:cNvPr id="1027" name="Text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Sheet"/>
  <dimension ref="A1:AO100"/>
  <sheetViews>
    <sheetView zoomScale="85" zoomScaleNormal="85" workbookViewId="0">
      <selection activeCell="M27" activeCellId="1" sqref="J20 M27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 t="s">
        <v>122</v>
      </c>
      <c r="C14" s="100"/>
      <c r="D14" s="100"/>
      <c r="E14" s="100"/>
      <c r="F14" s="100"/>
      <c r="G14" s="100"/>
      <c r="H14" s="100"/>
      <c r="I14" s="100"/>
      <c r="J14" s="100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0" t="s">
        <v>123</v>
      </c>
      <c r="C16" s="100"/>
      <c r="D16" s="100"/>
      <c r="E16" s="100"/>
      <c r="F16" s="100"/>
      <c r="G16" s="100"/>
      <c r="H16" s="100"/>
      <c r="I16" s="100"/>
      <c r="J16" s="100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J14"/>
    <mergeCell ref="B16:J16"/>
  </mergeCells>
  <phoneticPr fontId="2"/>
  <hyperlinks>
    <hyperlink ref="B9" r:id="rId1" xr:uid="{00000000-0004-0000-0000-000000000000}"/>
  </hyperlinks>
  <pageMargins left="0.75" right="0.75" top="1" bottom="1" header="0.51200000000000001" footer="0.51200000000000001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7" r:id="rId5" name="TextBox2">
          <controlPr defaultSize="0" autoLine="0" autoPict="0" r:id="rId6">
            <anchor moveWithCells="1">
              <from>
                <xdr:col>7</xdr:col>
                <xdr:colOff>47625</xdr:colOff>
                <xdr:row>55</xdr:row>
                <xdr:rowOff>152400</xdr:rowOff>
              </from>
              <to>
                <xdr:col>11</xdr:col>
                <xdr:colOff>695325</xdr:colOff>
                <xdr:row>89</xdr:row>
                <xdr:rowOff>104775</xdr:rowOff>
              </to>
            </anchor>
          </controlPr>
        </control>
      </mc:Choice>
      <mc:Fallback>
        <control shapeId="1027" r:id="rId5" name="TextBox2"/>
      </mc:Fallback>
    </mc:AlternateContent>
    <mc:AlternateContent xmlns:mc="http://schemas.openxmlformats.org/markup-compatibility/2006">
      <mc:Choice Requires="x14">
        <control shapeId="1025" r:id="rId7" name="TextBox1">
          <controlPr defaultSize="0" autoLine="0" autoPict="0" r:id="rId8">
            <anchor moveWithCells="1">
              <from>
                <xdr:col>1</xdr:col>
                <xdr:colOff>685800</xdr:colOff>
                <xdr:row>56</xdr:row>
                <xdr:rowOff>9525</xdr:rowOff>
              </from>
              <to>
                <xdr:col>6</xdr:col>
                <xdr:colOff>333375</xdr:colOff>
                <xdr:row>89</xdr:row>
                <xdr:rowOff>171450</xdr:rowOff>
              </to>
            </anchor>
          </controlPr>
        </control>
      </mc:Choice>
      <mc:Fallback>
        <control shapeId="1025" r:id="rId7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入力Sheet1"/>
  <dimension ref="A1:H71"/>
  <sheetViews>
    <sheetView tabSelected="1" view="pageBreakPreview" zoomScale="85" zoomScaleNormal="85" zoomScaleSheetLayoutView="85" workbookViewId="0">
      <selection activeCell="O20" sqref="O20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57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0.27531486999999999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2" t="s">
        <v>0</v>
      </c>
      <c r="C8" s="115" t="s">
        <v>40</v>
      </c>
      <c r="D8" s="106" t="s">
        <v>49</v>
      </c>
      <c r="E8" s="109" t="s">
        <v>48</v>
      </c>
      <c r="F8" s="101" t="s">
        <v>31</v>
      </c>
      <c r="G8" s="102"/>
      <c r="H8" s="103"/>
    </row>
    <row r="9" spans="1:8" ht="15.75" customHeight="1" x14ac:dyDescent="0.15">
      <c r="A9" s="19"/>
      <c r="B9" s="113"/>
      <c r="C9" s="116"/>
      <c r="D9" s="107"/>
      <c r="E9" s="110"/>
      <c r="F9" s="30" t="s">
        <v>42</v>
      </c>
      <c r="G9" s="104" t="s">
        <v>44</v>
      </c>
      <c r="H9" s="105"/>
    </row>
    <row r="10" spans="1:8" ht="15.75" customHeight="1" x14ac:dyDescent="0.15">
      <c r="A10" s="19"/>
      <c r="B10" s="113"/>
      <c r="C10" s="116"/>
      <c r="D10" s="107"/>
      <c r="E10" s="110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3"/>
      <c r="C11" s="117"/>
      <c r="D11" s="108"/>
      <c r="E11" s="111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4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4.2640497999999996</v>
      </c>
      <c r="G13" s="72">
        <v>88.100760000000008</v>
      </c>
      <c r="H13" s="73">
        <v>113.70504</v>
      </c>
    </row>
    <row r="14" spans="1:8" ht="15.75" customHeight="1" x14ac:dyDescent="0.15">
      <c r="A14" s="42"/>
      <c r="B14" s="168">
        <v>1</v>
      </c>
      <c r="C14" s="169">
        <v>0.75</v>
      </c>
      <c r="D14" s="170">
        <v>16</v>
      </c>
      <c r="E14" s="171">
        <v>200</v>
      </c>
      <c r="F14" s="74">
        <v>4.2484438788564489</v>
      </c>
      <c r="G14" s="75">
        <v>87.778318602461312</v>
      </c>
      <c r="H14" s="76">
        <v>113.28889595010503</v>
      </c>
    </row>
    <row r="15" spans="1:8" ht="15.75" customHeight="1" x14ac:dyDescent="0.15">
      <c r="A15" s="42"/>
      <c r="B15" s="168">
        <v>1</v>
      </c>
      <c r="C15" s="169">
        <v>0.75</v>
      </c>
      <c r="D15" s="170"/>
      <c r="E15" s="171"/>
      <c r="F15" s="74">
        <v>4.201740200709744</v>
      </c>
      <c r="G15" s="75">
        <v>86.813360500820636</v>
      </c>
      <c r="H15" s="76">
        <v>112.04349686165727</v>
      </c>
    </row>
    <row r="16" spans="1:8" ht="15.75" customHeight="1" x14ac:dyDescent="0.15">
      <c r="A16" s="42"/>
      <c r="B16" s="168">
        <v>1</v>
      </c>
      <c r="C16" s="169">
        <v>1.3</v>
      </c>
      <c r="D16" s="170"/>
      <c r="E16" s="171"/>
      <c r="F16" s="74">
        <v>4.0482498893566738</v>
      </c>
      <c r="G16" s="75">
        <v>83.642053114746076</v>
      </c>
      <c r="H16" s="76">
        <v>107.95052813991731</v>
      </c>
    </row>
    <row r="17" spans="1:8" ht="15.75" customHeight="1" x14ac:dyDescent="0.15">
      <c r="A17" s="42"/>
      <c r="B17" s="168">
        <v>2</v>
      </c>
      <c r="C17" s="169">
        <v>0.9</v>
      </c>
      <c r="D17" s="170">
        <v>16</v>
      </c>
      <c r="E17" s="171">
        <v>250</v>
      </c>
      <c r="F17" s="74">
        <v>3.9466637049558906</v>
      </c>
      <c r="G17" s="75">
        <v>81.543151796002377</v>
      </c>
      <c r="H17" s="76">
        <v>105.24163354163292</v>
      </c>
    </row>
    <row r="18" spans="1:8" ht="15.75" customHeight="1" x14ac:dyDescent="0.15">
      <c r="A18" s="42"/>
      <c r="B18" s="168">
        <v>2</v>
      </c>
      <c r="C18" s="169">
        <v>0.9</v>
      </c>
      <c r="D18" s="170"/>
      <c r="E18" s="171"/>
      <c r="F18" s="74">
        <v>3.8184529937942848</v>
      </c>
      <c r="G18" s="75">
        <v>78.894153486621192</v>
      </c>
      <c r="H18" s="76">
        <v>101.82276999284909</v>
      </c>
    </row>
    <row r="19" spans="1:8" ht="15.75" customHeight="1" x14ac:dyDescent="0.15">
      <c r="A19" s="42"/>
      <c r="B19" s="168">
        <v>3</v>
      </c>
      <c r="C19" s="169">
        <v>1.1000000000000001</v>
      </c>
      <c r="D19" s="170">
        <v>19</v>
      </c>
      <c r="E19" s="171">
        <v>250</v>
      </c>
      <c r="F19" s="74">
        <v>3.6540820107747769</v>
      </c>
      <c r="G19" s="75">
        <v>75.498037419679122</v>
      </c>
      <c r="H19" s="76">
        <v>97.439657558390905</v>
      </c>
    </row>
    <row r="20" spans="1:8" ht="15.75" customHeight="1" x14ac:dyDescent="0.15">
      <c r="A20" s="42"/>
      <c r="B20" s="168">
        <v>4</v>
      </c>
      <c r="C20" s="169">
        <v>0.45</v>
      </c>
      <c r="D20" s="170">
        <v>16</v>
      </c>
      <c r="E20" s="171">
        <v>250</v>
      </c>
      <c r="F20" s="74">
        <v>3.5620822850048768</v>
      </c>
      <c r="G20" s="75">
        <v>73.597204674739316</v>
      </c>
      <c r="H20" s="76">
        <v>94.986395221078382</v>
      </c>
    </row>
    <row r="21" spans="1:8" ht="15.75" customHeight="1" x14ac:dyDescent="0.15">
      <c r="A21" s="42"/>
      <c r="B21" s="168">
        <v>4</v>
      </c>
      <c r="C21" s="169">
        <v>0.65</v>
      </c>
      <c r="D21" s="170"/>
      <c r="E21" s="171"/>
      <c r="F21" s="74">
        <v>3.4186258975718293</v>
      </c>
      <c r="G21" s="75">
        <v>70.633211071263574</v>
      </c>
      <c r="H21" s="76">
        <v>91.160990858280243</v>
      </c>
    </row>
    <row r="22" spans="1:8" ht="15.75" customHeight="1" x14ac:dyDescent="0.15">
      <c r="A22" s="42"/>
      <c r="B22" s="168">
        <v>4</v>
      </c>
      <c r="C22" s="169">
        <v>0.65</v>
      </c>
      <c r="D22" s="170"/>
      <c r="E22" s="171"/>
      <c r="F22" s="74">
        <v>3.2631364880422571</v>
      </c>
      <c r="G22" s="75">
        <v>67.420599743873481</v>
      </c>
      <c r="H22" s="76">
        <v>87.014714235631189</v>
      </c>
    </row>
    <row r="23" spans="1:8" ht="15.75" customHeight="1" x14ac:dyDescent="0.15">
      <c r="A23" s="42"/>
      <c r="B23" s="168">
        <v>4</v>
      </c>
      <c r="C23" s="169">
        <v>0.95</v>
      </c>
      <c r="D23" s="170"/>
      <c r="E23" s="171"/>
      <c r="F23" s="74">
        <v>3.0153831895579088</v>
      </c>
      <c r="G23" s="75">
        <v>62.301697720146251</v>
      </c>
      <c r="H23" s="76">
        <v>80.408131106929574</v>
      </c>
    </row>
    <row r="24" spans="1:8" ht="15.75" customHeight="1" x14ac:dyDescent="0.15">
      <c r="A24" s="42"/>
      <c r="B24" s="168">
        <v>4</v>
      </c>
      <c r="C24" s="169">
        <v>0.95</v>
      </c>
      <c r="D24" s="170"/>
      <c r="E24" s="171"/>
      <c r="F24" s="74">
        <v>2.7449659522273846</v>
      </c>
      <c r="G24" s="75">
        <v>56.714529549671234</v>
      </c>
      <c r="H24" s="76">
        <v>73.197191963890049</v>
      </c>
    </row>
    <row r="25" spans="1:8" ht="15.75" customHeight="1" x14ac:dyDescent="0.15">
      <c r="A25" s="42"/>
      <c r="B25" s="168">
        <v>4</v>
      </c>
      <c r="C25" s="169">
        <v>0.95</v>
      </c>
      <c r="D25" s="170"/>
      <c r="E25" s="171"/>
      <c r="F25" s="74">
        <v>2.4539169806472687</v>
      </c>
      <c r="G25" s="75">
        <v>50.701083195013311</v>
      </c>
      <c r="H25" s="76">
        <v>65.436087522373924</v>
      </c>
    </row>
    <row r="26" spans="1:8" ht="15.75" customHeight="1" x14ac:dyDescent="0.15">
      <c r="A26" s="42"/>
      <c r="B26" s="168">
        <v>5</v>
      </c>
      <c r="C26" s="169">
        <v>0.95</v>
      </c>
      <c r="D26" s="170">
        <v>19</v>
      </c>
      <c r="E26" s="171">
        <v>250</v>
      </c>
      <c r="F26" s="74">
        <v>2.1918353312459264</v>
      </c>
      <c r="G26" s="75">
        <v>45.286138999680816</v>
      </c>
      <c r="H26" s="76">
        <v>58.4474249541273</v>
      </c>
    </row>
    <row r="27" spans="1:8" ht="15.75" customHeight="1" x14ac:dyDescent="0.15">
      <c r="A27" s="42"/>
      <c r="B27" s="168">
        <v>5</v>
      </c>
      <c r="C27" s="169">
        <v>0.95</v>
      </c>
      <c r="D27" s="170"/>
      <c r="E27" s="171"/>
      <c r="F27" s="74">
        <v>1.9132793586652455</v>
      </c>
      <c r="G27" s="75">
        <v>39.530814083776079</v>
      </c>
      <c r="H27" s="76">
        <v>51.019458504805314</v>
      </c>
    </row>
    <row r="28" spans="1:8" ht="15.75" customHeight="1" x14ac:dyDescent="0.15">
      <c r="A28" s="42"/>
      <c r="B28" s="168">
        <v>6</v>
      </c>
      <c r="C28" s="169">
        <v>0.998</v>
      </c>
      <c r="D28" s="170">
        <v>16</v>
      </c>
      <c r="E28" s="171">
        <v>250</v>
      </c>
      <c r="F28" s="74">
        <v>1.548922820631119</v>
      </c>
      <c r="G28" s="75">
        <v>32.002739053852864</v>
      </c>
      <c r="H28" s="76">
        <v>41.303536368816239</v>
      </c>
    </row>
    <row r="29" spans="1:8" ht="15.75" customHeight="1" x14ac:dyDescent="0.15">
      <c r="A29" s="42"/>
      <c r="B29" s="168">
        <v>6</v>
      </c>
      <c r="C29" s="169">
        <v>1</v>
      </c>
      <c r="D29" s="170"/>
      <c r="E29" s="171"/>
      <c r="F29" s="74">
        <v>1.1709521444819919</v>
      </c>
      <c r="G29" s="75">
        <v>24.193378408058905</v>
      </c>
      <c r="H29" s="76">
        <v>31.224579973616052</v>
      </c>
    </row>
    <row r="30" spans="1:8" ht="15.75" customHeight="1" x14ac:dyDescent="0.15">
      <c r="A30" s="42"/>
      <c r="B30" s="168">
        <v>6</v>
      </c>
      <c r="C30" s="169">
        <v>1</v>
      </c>
      <c r="D30" s="170"/>
      <c r="E30" s="171"/>
      <c r="F30" s="74">
        <v>0.78323033984071155</v>
      </c>
      <c r="G30" s="75">
        <v>16.182546897184768</v>
      </c>
      <c r="H30" s="76">
        <v>20.885600235129751</v>
      </c>
    </row>
    <row r="31" spans="1:8" ht="15.75" customHeight="1" x14ac:dyDescent="0.15">
      <c r="A31" s="42"/>
      <c r="B31" s="168">
        <v>6</v>
      </c>
      <c r="C31" s="169">
        <v>0.10199999999999999</v>
      </c>
      <c r="D31" s="170"/>
      <c r="E31" s="171"/>
      <c r="F31" s="74">
        <v>0.74326123746238604</v>
      </c>
      <c r="G31" s="75">
        <v>15.356733798821931</v>
      </c>
      <c r="H31" s="76">
        <v>19.819785172091645</v>
      </c>
    </row>
    <row r="32" spans="1:8" ht="15.75" customHeight="1" x14ac:dyDescent="0.15">
      <c r="A32" s="42"/>
      <c r="B32" s="168">
        <v>7</v>
      </c>
      <c r="C32" s="169">
        <f>3-C31</f>
        <v>2.8980000000000001</v>
      </c>
      <c r="D32" s="170">
        <v>20</v>
      </c>
      <c r="E32" s="171">
        <v>400</v>
      </c>
      <c r="F32" s="74">
        <v>0.3795768217184291</v>
      </c>
      <c r="G32" s="75">
        <v>7.8425456804853164</v>
      </c>
      <c r="H32" s="76">
        <v>10.121785831923349</v>
      </c>
    </row>
    <row r="33" spans="1:8" ht="15.75" customHeight="1" x14ac:dyDescent="0.15">
      <c r="A33" s="42"/>
      <c r="B33" s="168">
        <v>7</v>
      </c>
      <c r="C33" s="169">
        <f>3.8-C32</f>
        <v>0.90199999999999969</v>
      </c>
      <c r="D33" s="170"/>
      <c r="E33" s="171"/>
      <c r="F33" s="74">
        <v>0.26379266855404826</v>
      </c>
      <c r="G33" s="75">
        <v>5.4502960532371247</v>
      </c>
      <c r="H33" s="76">
        <v>7.0342885612659165</v>
      </c>
    </row>
    <row r="34" spans="1:8" ht="15.75" customHeight="1" x14ac:dyDescent="0.15">
      <c r="A34" s="42"/>
      <c r="B34" s="168">
        <v>8</v>
      </c>
      <c r="C34" s="169">
        <f>6-SUM(C31:C33)</f>
        <v>2.0980000000000003</v>
      </c>
      <c r="D34" s="170">
        <v>17</v>
      </c>
      <c r="E34" s="171">
        <v>440</v>
      </c>
      <c r="F34" s="74">
        <v>1.2289507540500062E-7</v>
      </c>
      <c r="G34" s="75">
        <v>2.5391704330286043E-6</v>
      </c>
      <c r="H34" s="76">
        <v>3.2771169414823432E-6</v>
      </c>
    </row>
    <row r="35" spans="1:8" ht="15.75" customHeight="1" x14ac:dyDescent="0.15">
      <c r="A35" s="42"/>
      <c r="B35" s="168"/>
      <c r="C35" s="169"/>
      <c r="D35" s="170"/>
      <c r="E35" s="171"/>
      <c r="F35" s="74"/>
      <c r="G35" s="75"/>
      <c r="H35" s="76"/>
    </row>
    <row r="36" spans="1:8" ht="15.75" customHeight="1" x14ac:dyDescent="0.15">
      <c r="A36" s="42"/>
      <c r="B36" s="168"/>
      <c r="C36" s="169"/>
      <c r="D36" s="170"/>
      <c r="E36" s="171"/>
      <c r="F36" s="74"/>
      <c r="G36" s="75"/>
      <c r="H36" s="76"/>
    </row>
    <row r="37" spans="1:8" ht="15.75" customHeight="1" x14ac:dyDescent="0.15">
      <c r="A37" s="42"/>
      <c r="B37" s="168"/>
      <c r="C37" s="169"/>
      <c r="D37" s="170"/>
      <c r="E37" s="171"/>
      <c r="F37" s="74"/>
      <c r="G37" s="75"/>
      <c r="H37" s="76"/>
    </row>
    <row r="38" spans="1:8" ht="15.75" customHeight="1" x14ac:dyDescent="0.15">
      <c r="A38" s="42"/>
      <c r="B38" s="168"/>
      <c r="C38" s="169"/>
      <c r="D38" s="170"/>
      <c r="E38" s="171"/>
      <c r="F38" s="74"/>
      <c r="G38" s="75"/>
      <c r="H38" s="76"/>
    </row>
    <row r="39" spans="1:8" ht="15.75" customHeight="1" x14ac:dyDescent="0.15">
      <c r="A39" s="42"/>
      <c r="B39" s="168"/>
      <c r="C39" s="169"/>
      <c r="D39" s="170"/>
      <c r="E39" s="171"/>
      <c r="F39" s="74"/>
      <c r="G39" s="75"/>
      <c r="H39" s="76"/>
    </row>
    <row r="40" spans="1:8" ht="15.75" customHeight="1" x14ac:dyDescent="0.15">
      <c r="A40" s="42"/>
      <c r="B40" s="168"/>
      <c r="C40" s="169"/>
      <c r="D40" s="170"/>
      <c r="E40" s="171"/>
      <c r="F40" s="74"/>
      <c r="G40" s="75"/>
      <c r="H40" s="76"/>
    </row>
    <row r="41" spans="1:8" ht="15.75" customHeight="1" x14ac:dyDescent="0.15">
      <c r="A41" s="42"/>
      <c r="B41" s="168"/>
      <c r="C41" s="169"/>
      <c r="D41" s="170"/>
      <c r="E41" s="171"/>
      <c r="F41" s="74"/>
      <c r="G41" s="75"/>
      <c r="H41" s="76"/>
    </row>
    <row r="42" spans="1:8" ht="15.75" customHeight="1" x14ac:dyDescent="0.15">
      <c r="A42" s="42"/>
      <c r="B42" s="168"/>
      <c r="C42" s="169"/>
      <c r="D42" s="170"/>
      <c r="E42" s="171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入力Sheet2"/>
  <dimension ref="B1:G72"/>
  <sheetViews>
    <sheetView zoomScale="85" zoomScaleNormal="85" zoomScaleSheetLayoutView="85" workbookViewId="0">
      <selection activeCell="D12" sqref="D12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21" t="s">
        <v>118</v>
      </c>
      <c r="C3" s="121"/>
    </row>
    <row r="4" spans="2:7" ht="15.75" customHeight="1" x14ac:dyDescent="0.15">
      <c r="B4" s="121" t="s">
        <v>119</v>
      </c>
      <c r="C4" s="121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59</v>
      </c>
      <c r="C7" s="20"/>
    </row>
    <row r="8" spans="2:7" ht="15.75" customHeight="1" x14ac:dyDescent="0.15">
      <c r="B8" s="122" t="s">
        <v>28</v>
      </c>
      <c r="C8" s="125" t="s">
        <v>54</v>
      </c>
      <c r="D8" s="101" t="s">
        <v>31</v>
      </c>
      <c r="E8" s="102"/>
      <c r="F8" s="103"/>
      <c r="G8" s="118" t="s">
        <v>56</v>
      </c>
    </row>
    <row r="9" spans="2:7" ht="15.75" customHeight="1" x14ac:dyDescent="0.15">
      <c r="B9" s="123"/>
      <c r="C9" s="126"/>
      <c r="D9" s="30" t="s">
        <v>89</v>
      </c>
      <c r="E9" s="104" t="s">
        <v>90</v>
      </c>
      <c r="F9" s="105"/>
      <c r="G9" s="119"/>
    </row>
    <row r="10" spans="2:7" ht="15.75" customHeight="1" x14ac:dyDescent="0.15">
      <c r="B10" s="124"/>
      <c r="C10" s="67" t="s">
        <v>55</v>
      </c>
      <c r="D10" s="56"/>
      <c r="E10" s="55" t="s">
        <v>46</v>
      </c>
      <c r="F10" s="57" t="s">
        <v>47</v>
      </c>
      <c r="G10" s="120"/>
    </row>
    <row r="11" spans="2:7" ht="15.75" customHeight="1" x14ac:dyDescent="0.15">
      <c r="B11" s="83">
        <v>1</v>
      </c>
      <c r="C11" s="62">
        <v>0.56000000000000005</v>
      </c>
      <c r="D11" s="64" t="s">
        <v>110</v>
      </c>
      <c r="E11" s="65" t="s">
        <v>58</v>
      </c>
      <c r="F11" s="66" t="s">
        <v>110</v>
      </c>
      <c r="G11" s="92" t="s">
        <v>120</v>
      </c>
    </row>
    <row r="12" spans="2:7" ht="15.75" customHeight="1" x14ac:dyDescent="0.15">
      <c r="B12" s="84">
        <v>2</v>
      </c>
      <c r="C12" s="60">
        <v>0.58599999999999997</v>
      </c>
      <c r="D12" s="58" t="s">
        <v>110</v>
      </c>
      <c r="E12" s="51" t="s">
        <v>58</v>
      </c>
      <c r="F12" s="52" t="s">
        <v>109</v>
      </c>
      <c r="G12" s="93" t="s">
        <v>121</v>
      </c>
    </row>
    <row r="13" spans="2:7" ht="15.75" customHeight="1" x14ac:dyDescent="0.15">
      <c r="B13" s="84">
        <v>3</v>
      </c>
      <c r="C13" s="60"/>
      <c r="D13" s="58"/>
      <c r="E13" s="51"/>
      <c r="F13" s="52"/>
      <c r="G13" s="93"/>
    </row>
    <row r="14" spans="2:7" ht="15.75" customHeight="1" x14ac:dyDescent="0.15">
      <c r="B14" s="84">
        <v>4</v>
      </c>
      <c r="C14" s="60"/>
      <c r="D14" s="58"/>
      <c r="E14" s="51"/>
      <c r="F14" s="52"/>
      <c r="G14" s="93"/>
    </row>
    <row r="15" spans="2:7" ht="15.75" customHeight="1" x14ac:dyDescent="0.15">
      <c r="B15" s="84">
        <v>5</v>
      </c>
      <c r="C15" s="60"/>
      <c r="D15" s="58"/>
      <c r="E15" s="51"/>
      <c r="F15" s="52"/>
      <c r="G15" s="93"/>
    </row>
    <row r="16" spans="2:7" ht="15.75" customHeight="1" x14ac:dyDescent="0.15">
      <c r="B16" s="84">
        <v>6</v>
      </c>
      <c r="C16" s="60"/>
      <c r="D16" s="58"/>
      <c r="E16" s="51"/>
      <c r="F16" s="52"/>
      <c r="G16" s="93"/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G8:G10"/>
    <mergeCell ref="E9:F9"/>
    <mergeCell ref="B3:C3"/>
    <mergeCell ref="B4:C4"/>
    <mergeCell ref="B8:B10"/>
    <mergeCell ref="C8:C9"/>
    <mergeCell ref="D8:F8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動的相互Sheet"/>
  <dimension ref="A1:AI116"/>
  <sheetViews>
    <sheetView view="pageBreakPreview" topLeftCell="A95" zoomScaleNormal="100" zoomScaleSheetLayoutView="100" workbookViewId="0">
      <selection activeCell="T114" sqref="T114:X114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117</v>
      </c>
      <c r="G1" s="86" t="s">
        <v>102</v>
      </c>
      <c r="H1" s="86" t="s">
        <v>103</v>
      </c>
      <c r="O1" s="80"/>
      <c r="P1" s="86" t="s">
        <v>102</v>
      </c>
      <c r="Q1" s="86" t="s">
        <v>104</v>
      </c>
    </row>
    <row r="3" spans="1:30" ht="15.75" customHeight="1" x14ac:dyDescent="0.15">
      <c r="C3" s="86" t="s">
        <v>60</v>
      </c>
    </row>
    <row r="5" spans="1:30" ht="15.75" customHeight="1" x14ac:dyDescent="0.15">
      <c r="D5" s="86" t="s">
        <v>91</v>
      </c>
    </row>
    <row r="8" spans="1:30" ht="15.75" customHeight="1" x14ac:dyDescent="0.15">
      <c r="E8" s="128" t="s">
        <v>0</v>
      </c>
      <c r="F8" s="128"/>
      <c r="G8" s="128"/>
      <c r="H8" s="128" t="s">
        <v>40</v>
      </c>
      <c r="I8" s="128"/>
      <c r="J8" s="128"/>
      <c r="K8" s="128" t="s">
        <v>113</v>
      </c>
      <c r="L8" s="128"/>
      <c r="M8" s="128"/>
      <c r="N8" s="129" t="s">
        <v>112</v>
      </c>
      <c r="O8" s="129"/>
      <c r="P8" s="129"/>
      <c r="Q8" s="129" t="s">
        <v>111</v>
      </c>
      <c r="R8" s="129"/>
      <c r="S8" s="129"/>
      <c r="T8" s="129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28"/>
      <c r="F9" s="128"/>
      <c r="G9" s="128"/>
      <c r="H9" s="128"/>
      <c r="I9" s="128"/>
      <c r="J9" s="128"/>
      <c r="K9" s="128"/>
      <c r="L9" s="128"/>
      <c r="M9" s="128"/>
      <c r="N9" s="129"/>
      <c r="O9" s="129"/>
      <c r="P9" s="129"/>
      <c r="Q9" s="129"/>
      <c r="R9" s="129"/>
      <c r="S9" s="129"/>
      <c r="T9" s="129"/>
      <c r="U9" s="127" t="s">
        <v>42</v>
      </c>
      <c r="V9" s="127"/>
      <c r="W9" s="127"/>
      <c r="X9" s="127"/>
      <c r="Y9" s="127"/>
      <c r="Z9" s="127" t="s">
        <v>44</v>
      </c>
      <c r="AA9" s="127"/>
      <c r="AB9" s="127"/>
      <c r="AC9" s="127"/>
      <c r="AD9" s="127"/>
    </row>
    <row r="10" spans="1:30" ht="15.75" customHeight="1" x14ac:dyDescent="0.15">
      <c r="E10" s="128"/>
      <c r="F10" s="128"/>
      <c r="G10" s="128"/>
      <c r="H10" s="128"/>
      <c r="I10" s="128"/>
      <c r="J10" s="128"/>
      <c r="K10" s="128" t="s">
        <v>114</v>
      </c>
      <c r="L10" s="128"/>
      <c r="M10" s="128"/>
      <c r="N10" s="129" t="s">
        <v>115</v>
      </c>
      <c r="O10" s="129"/>
      <c r="P10" s="129"/>
      <c r="Q10" s="129" t="s">
        <v>116</v>
      </c>
      <c r="R10" s="129"/>
      <c r="S10" s="129"/>
      <c r="T10" s="129"/>
      <c r="U10" s="127" t="s">
        <v>86</v>
      </c>
      <c r="V10" s="127"/>
      <c r="W10" s="127"/>
      <c r="X10" s="127"/>
      <c r="Y10" s="127"/>
      <c r="Z10" s="127" t="s">
        <v>86</v>
      </c>
      <c r="AA10" s="127"/>
      <c r="AB10" s="127"/>
      <c r="AC10" s="127"/>
      <c r="AD10" s="127"/>
    </row>
    <row r="11" spans="1:30" ht="15.75" customHeight="1" x14ac:dyDescent="0.15">
      <c r="E11" s="128"/>
      <c r="F11" s="128"/>
      <c r="G11" s="128"/>
      <c r="H11" s="127" t="s">
        <v>87</v>
      </c>
      <c r="I11" s="127"/>
      <c r="J11" s="127"/>
      <c r="K11" s="127" t="s">
        <v>87</v>
      </c>
      <c r="L11" s="127"/>
      <c r="M11" s="127"/>
      <c r="N11" s="127" t="s">
        <v>33</v>
      </c>
      <c r="O11" s="127"/>
      <c r="P11" s="127"/>
      <c r="Q11" s="127" t="s">
        <v>34</v>
      </c>
      <c r="R11" s="127"/>
      <c r="S11" s="127"/>
      <c r="T11" s="127"/>
      <c r="U11" s="127" t="s">
        <v>35</v>
      </c>
      <c r="V11" s="127"/>
      <c r="W11" s="127"/>
      <c r="X11" s="127"/>
      <c r="Y11" s="127"/>
      <c r="Z11" s="127" t="s">
        <v>35</v>
      </c>
      <c r="AA11" s="127"/>
      <c r="AB11" s="127"/>
      <c r="AC11" s="127"/>
      <c r="AD11" s="127"/>
    </row>
    <row r="12" spans="1:30" ht="15.75" customHeight="1" x14ac:dyDescent="0.15">
      <c r="E12" s="130" t="str">
        <f>IF('入力 (1)'!B13="","",'入力 (1)'!B13)</f>
        <v>表層</v>
      </c>
      <c r="F12" s="130"/>
      <c r="G12" s="130"/>
      <c r="H12" s="131" t="str">
        <f>IF('入力 (1)'!C13="","",'入力 (1)'!C13)</f>
        <v/>
      </c>
      <c r="I12" s="131"/>
      <c r="J12" s="131"/>
      <c r="K12" s="131">
        <f>SUM(H$12:J12)</f>
        <v>0</v>
      </c>
      <c r="L12" s="131"/>
      <c r="M12" s="131"/>
      <c r="N12" s="132" t="str">
        <f>IF('入力 (1)'!D13="","",'入力 (1)'!D13)</f>
        <v/>
      </c>
      <c r="O12" s="132"/>
      <c r="P12" s="132"/>
      <c r="Q12" s="132" t="str">
        <f>IF('入力 (1)'!E13="","",'入力 (1)'!E13)</f>
        <v/>
      </c>
      <c r="R12" s="132"/>
      <c r="S12" s="132"/>
      <c r="T12" s="132"/>
      <c r="U12" s="133">
        <f>IF('入力 (1)'!F13="","",ROUND('入力 (1)'!F13,2))</f>
        <v>4.26</v>
      </c>
      <c r="V12" s="133"/>
      <c r="W12" s="133"/>
      <c r="X12" s="133"/>
      <c r="Y12" s="133"/>
      <c r="Z12" s="133">
        <f>IF('入力 (1)'!H13="","",ROUND('入力 (1)'!H13,2))</f>
        <v>113.71</v>
      </c>
      <c r="AA12" s="133"/>
      <c r="AB12" s="133"/>
      <c r="AC12" s="133"/>
      <c r="AD12" s="133"/>
    </row>
    <row r="13" spans="1:30" ht="15.75" customHeight="1" x14ac:dyDescent="0.15">
      <c r="A13" s="80" t="str">
        <f t="shared" ref="A13:A44" si="0">IF(H13="","×","")</f>
        <v/>
      </c>
      <c r="E13" s="130">
        <f>IF('入力 (1)'!B14="","",'入力 (1)'!B14)</f>
        <v>1</v>
      </c>
      <c r="F13" s="130"/>
      <c r="G13" s="130"/>
      <c r="H13" s="131">
        <f>IF('入力 (1)'!C14="","",'入力 (1)'!C14)</f>
        <v>0.75</v>
      </c>
      <c r="I13" s="131"/>
      <c r="J13" s="131"/>
      <c r="K13" s="131">
        <f>SUM(H$12:J13)</f>
        <v>0.75</v>
      </c>
      <c r="L13" s="131"/>
      <c r="M13" s="131"/>
      <c r="N13" s="132">
        <f>IF('入力 (1)'!D14="","",'入力 (1)'!D14)</f>
        <v>16</v>
      </c>
      <c r="O13" s="132"/>
      <c r="P13" s="132"/>
      <c r="Q13" s="132">
        <f>IF('入力 (1)'!E14="","",'入力 (1)'!E14)</f>
        <v>200</v>
      </c>
      <c r="R13" s="132"/>
      <c r="S13" s="132"/>
      <c r="T13" s="132"/>
      <c r="U13" s="133">
        <f>IF('入力 (1)'!F14="","",ROUND('入力 (1)'!F14,2))</f>
        <v>4.25</v>
      </c>
      <c r="V13" s="133"/>
      <c r="W13" s="133"/>
      <c r="X13" s="133"/>
      <c r="Y13" s="133"/>
      <c r="Z13" s="133">
        <f>IF('入力 (1)'!H14="","",ROUND('入力 (1)'!H14,2))</f>
        <v>113.29</v>
      </c>
      <c r="AA13" s="133"/>
      <c r="AB13" s="133"/>
      <c r="AC13" s="133"/>
      <c r="AD13" s="133"/>
    </row>
    <row r="14" spans="1:30" ht="15.75" customHeight="1" x14ac:dyDescent="0.15">
      <c r="A14" s="80" t="str">
        <f t="shared" si="0"/>
        <v/>
      </c>
      <c r="E14" s="130">
        <f>IF('入力 (1)'!B15="","",'入力 (1)'!B15)</f>
        <v>1</v>
      </c>
      <c r="F14" s="130"/>
      <c r="G14" s="130"/>
      <c r="H14" s="131">
        <f>IF('入力 (1)'!C15="","",'入力 (1)'!C15)</f>
        <v>0.75</v>
      </c>
      <c r="I14" s="131"/>
      <c r="J14" s="131"/>
      <c r="K14" s="131">
        <f>SUM(H$12:J14)</f>
        <v>1.5</v>
      </c>
      <c r="L14" s="131"/>
      <c r="M14" s="131"/>
      <c r="N14" s="132" t="str">
        <f>IF('入力 (1)'!D15="","",'入力 (1)'!D15)</f>
        <v/>
      </c>
      <c r="O14" s="132"/>
      <c r="P14" s="132"/>
      <c r="Q14" s="132" t="str">
        <f>IF('入力 (1)'!E15="","",'入力 (1)'!E15)</f>
        <v/>
      </c>
      <c r="R14" s="132"/>
      <c r="S14" s="132"/>
      <c r="T14" s="132"/>
      <c r="U14" s="133">
        <f>IF('入力 (1)'!F15="","",ROUND('入力 (1)'!F15,2))</f>
        <v>4.2</v>
      </c>
      <c r="V14" s="133"/>
      <c r="W14" s="133"/>
      <c r="X14" s="133"/>
      <c r="Y14" s="133"/>
      <c r="Z14" s="133">
        <f>IF('入力 (1)'!H15="","",ROUND('入力 (1)'!H15,2))</f>
        <v>112.04</v>
      </c>
      <c r="AA14" s="133"/>
      <c r="AB14" s="133"/>
      <c r="AC14" s="133"/>
      <c r="AD14" s="133"/>
    </row>
    <row r="15" spans="1:30" ht="15.75" customHeight="1" x14ac:dyDescent="0.15">
      <c r="A15" s="80" t="str">
        <f t="shared" si="0"/>
        <v/>
      </c>
      <c r="E15" s="130">
        <f>IF('入力 (1)'!B16="","",'入力 (1)'!B16)</f>
        <v>1</v>
      </c>
      <c r="F15" s="130"/>
      <c r="G15" s="130"/>
      <c r="H15" s="131">
        <f>IF('入力 (1)'!C16="","",'入力 (1)'!C16)</f>
        <v>1.3</v>
      </c>
      <c r="I15" s="131"/>
      <c r="J15" s="131"/>
      <c r="K15" s="131">
        <f>SUM(H$12:J15)</f>
        <v>2.8</v>
      </c>
      <c r="L15" s="131"/>
      <c r="M15" s="131"/>
      <c r="N15" s="132" t="str">
        <f>IF('入力 (1)'!D16="","",'入力 (1)'!D16)</f>
        <v/>
      </c>
      <c r="O15" s="132"/>
      <c r="P15" s="132"/>
      <c r="Q15" s="132" t="str">
        <f>IF('入力 (1)'!E16="","",'入力 (1)'!E16)</f>
        <v/>
      </c>
      <c r="R15" s="132"/>
      <c r="S15" s="132"/>
      <c r="T15" s="132"/>
      <c r="U15" s="133">
        <f>IF('入力 (1)'!F16="","",ROUND('入力 (1)'!F16,2))</f>
        <v>4.05</v>
      </c>
      <c r="V15" s="133"/>
      <c r="W15" s="133"/>
      <c r="X15" s="133"/>
      <c r="Y15" s="133"/>
      <c r="Z15" s="133">
        <f>IF('入力 (1)'!H16="","",ROUND('入力 (1)'!H16,2))</f>
        <v>107.95</v>
      </c>
      <c r="AA15" s="133"/>
      <c r="AB15" s="133"/>
      <c r="AC15" s="133"/>
      <c r="AD15" s="133"/>
    </row>
    <row r="16" spans="1:30" ht="15.75" customHeight="1" x14ac:dyDescent="0.15">
      <c r="A16" s="80" t="str">
        <f t="shared" si="0"/>
        <v/>
      </c>
      <c r="E16" s="130">
        <f>IF('入力 (1)'!B17="","",'入力 (1)'!B17)</f>
        <v>2</v>
      </c>
      <c r="F16" s="130"/>
      <c r="G16" s="130"/>
      <c r="H16" s="131">
        <f>IF('入力 (1)'!C17="","",'入力 (1)'!C17)</f>
        <v>0.9</v>
      </c>
      <c r="I16" s="131"/>
      <c r="J16" s="131"/>
      <c r="K16" s="131">
        <f>SUM(H$12:J16)</f>
        <v>3.6999999999999997</v>
      </c>
      <c r="L16" s="131"/>
      <c r="M16" s="131"/>
      <c r="N16" s="132">
        <f>IF('入力 (1)'!D17="","",'入力 (1)'!D17)</f>
        <v>16</v>
      </c>
      <c r="O16" s="132"/>
      <c r="P16" s="132"/>
      <c r="Q16" s="132">
        <f>IF('入力 (1)'!E17="","",'入力 (1)'!E17)</f>
        <v>250</v>
      </c>
      <c r="R16" s="132"/>
      <c r="S16" s="132"/>
      <c r="T16" s="132"/>
      <c r="U16" s="133">
        <f>IF('入力 (1)'!F17="","",ROUND('入力 (1)'!F17,2))</f>
        <v>3.95</v>
      </c>
      <c r="V16" s="133"/>
      <c r="W16" s="133"/>
      <c r="X16" s="133"/>
      <c r="Y16" s="133"/>
      <c r="Z16" s="133">
        <f>IF('入力 (1)'!H17="","",ROUND('入力 (1)'!H17,2))</f>
        <v>105.24</v>
      </c>
      <c r="AA16" s="133"/>
      <c r="AB16" s="133"/>
      <c r="AC16" s="133"/>
      <c r="AD16" s="133"/>
    </row>
    <row r="17" spans="1:30" ht="15.75" customHeight="1" x14ac:dyDescent="0.15">
      <c r="A17" s="80" t="str">
        <f t="shared" si="0"/>
        <v/>
      </c>
      <c r="E17" s="130">
        <f>IF('入力 (1)'!B18="","",'入力 (1)'!B18)</f>
        <v>2</v>
      </c>
      <c r="F17" s="130"/>
      <c r="G17" s="130"/>
      <c r="H17" s="131">
        <f>IF('入力 (1)'!C18="","",'入力 (1)'!C18)</f>
        <v>0.9</v>
      </c>
      <c r="I17" s="131"/>
      <c r="J17" s="131"/>
      <c r="K17" s="131">
        <f>SUM(H$12:J17)</f>
        <v>4.5999999999999996</v>
      </c>
      <c r="L17" s="131"/>
      <c r="M17" s="131"/>
      <c r="N17" s="132" t="str">
        <f>IF('入力 (1)'!D18="","",'入力 (1)'!D18)</f>
        <v/>
      </c>
      <c r="O17" s="132"/>
      <c r="P17" s="132"/>
      <c r="Q17" s="132" t="str">
        <f>IF('入力 (1)'!E18="","",'入力 (1)'!E18)</f>
        <v/>
      </c>
      <c r="R17" s="132"/>
      <c r="S17" s="132"/>
      <c r="T17" s="132"/>
      <c r="U17" s="133">
        <f>IF('入力 (1)'!F18="","",ROUND('入力 (1)'!F18,2))</f>
        <v>3.82</v>
      </c>
      <c r="V17" s="133"/>
      <c r="W17" s="133"/>
      <c r="X17" s="133"/>
      <c r="Y17" s="133"/>
      <c r="Z17" s="133">
        <f>IF('入力 (1)'!H18="","",ROUND('入力 (1)'!H18,2))</f>
        <v>101.82</v>
      </c>
      <c r="AA17" s="133"/>
      <c r="AB17" s="133"/>
      <c r="AC17" s="133"/>
      <c r="AD17" s="133"/>
    </row>
    <row r="18" spans="1:30" ht="15.75" customHeight="1" x14ac:dyDescent="0.15">
      <c r="A18" s="80" t="str">
        <f t="shared" si="0"/>
        <v/>
      </c>
      <c r="E18" s="130">
        <f>IF('入力 (1)'!B19="","",'入力 (1)'!B19)</f>
        <v>3</v>
      </c>
      <c r="F18" s="130"/>
      <c r="G18" s="130"/>
      <c r="H18" s="131">
        <f>IF('入力 (1)'!C19="","",'入力 (1)'!C19)</f>
        <v>1.1000000000000001</v>
      </c>
      <c r="I18" s="131"/>
      <c r="J18" s="131"/>
      <c r="K18" s="131">
        <f>SUM(H$12:J18)</f>
        <v>5.6999999999999993</v>
      </c>
      <c r="L18" s="131"/>
      <c r="M18" s="131"/>
      <c r="N18" s="132">
        <f>IF('入力 (1)'!D19="","",'入力 (1)'!D19)</f>
        <v>19</v>
      </c>
      <c r="O18" s="132"/>
      <c r="P18" s="132"/>
      <c r="Q18" s="132">
        <f>IF('入力 (1)'!E19="","",'入力 (1)'!E19)</f>
        <v>250</v>
      </c>
      <c r="R18" s="132"/>
      <c r="S18" s="132"/>
      <c r="T18" s="132"/>
      <c r="U18" s="133">
        <f>IF('入力 (1)'!F19="","",ROUND('入力 (1)'!F19,2))</f>
        <v>3.65</v>
      </c>
      <c r="V18" s="133"/>
      <c r="W18" s="133"/>
      <c r="X18" s="133"/>
      <c r="Y18" s="133"/>
      <c r="Z18" s="133">
        <f>IF('入力 (1)'!H19="","",ROUND('入力 (1)'!H19,2))</f>
        <v>97.44</v>
      </c>
      <c r="AA18" s="133"/>
      <c r="AB18" s="133"/>
      <c r="AC18" s="133"/>
      <c r="AD18" s="133"/>
    </row>
    <row r="19" spans="1:30" ht="15.75" customHeight="1" x14ac:dyDescent="0.15">
      <c r="A19" s="80" t="str">
        <f t="shared" si="0"/>
        <v/>
      </c>
      <c r="E19" s="130">
        <f>IF('入力 (1)'!B20="","",'入力 (1)'!B20)</f>
        <v>4</v>
      </c>
      <c r="F19" s="130"/>
      <c r="G19" s="130"/>
      <c r="H19" s="131">
        <f>IF('入力 (1)'!C20="","",'入力 (1)'!C20)</f>
        <v>0.45</v>
      </c>
      <c r="I19" s="131"/>
      <c r="J19" s="131"/>
      <c r="K19" s="131">
        <f>SUM(H$12:J19)</f>
        <v>6.1499999999999995</v>
      </c>
      <c r="L19" s="131"/>
      <c r="M19" s="131"/>
      <c r="N19" s="132">
        <f>IF('入力 (1)'!D20="","",'入力 (1)'!D20)</f>
        <v>16</v>
      </c>
      <c r="O19" s="132"/>
      <c r="P19" s="132"/>
      <c r="Q19" s="132">
        <f>IF('入力 (1)'!E20="","",'入力 (1)'!E20)</f>
        <v>250</v>
      </c>
      <c r="R19" s="132"/>
      <c r="S19" s="132"/>
      <c r="T19" s="132"/>
      <c r="U19" s="133">
        <f>IF('入力 (1)'!F20="","",ROUND('入力 (1)'!F20,2))</f>
        <v>3.56</v>
      </c>
      <c r="V19" s="133"/>
      <c r="W19" s="133"/>
      <c r="X19" s="133"/>
      <c r="Y19" s="133"/>
      <c r="Z19" s="133">
        <f>IF('入力 (1)'!H20="","",ROUND('入力 (1)'!H20,2))</f>
        <v>94.99</v>
      </c>
      <c r="AA19" s="133"/>
      <c r="AB19" s="133"/>
      <c r="AC19" s="133"/>
      <c r="AD19" s="133"/>
    </row>
    <row r="20" spans="1:30" ht="15.75" customHeight="1" x14ac:dyDescent="0.15">
      <c r="A20" s="80" t="str">
        <f t="shared" si="0"/>
        <v/>
      </c>
      <c r="E20" s="130">
        <f>IF('入力 (1)'!B21="","",'入力 (1)'!B21)</f>
        <v>4</v>
      </c>
      <c r="F20" s="130"/>
      <c r="G20" s="130"/>
      <c r="H20" s="131">
        <f>IF('入力 (1)'!C21="","",'入力 (1)'!C21)</f>
        <v>0.65</v>
      </c>
      <c r="I20" s="131"/>
      <c r="J20" s="131"/>
      <c r="K20" s="131">
        <f>SUM(H$12:J20)</f>
        <v>6.8</v>
      </c>
      <c r="L20" s="131"/>
      <c r="M20" s="131"/>
      <c r="N20" s="132" t="str">
        <f>IF('入力 (1)'!D21="","",'入力 (1)'!D21)</f>
        <v/>
      </c>
      <c r="O20" s="132"/>
      <c r="P20" s="132"/>
      <c r="Q20" s="132" t="str">
        <f>IF('入力 (1)'!E21="","",'入力 (1)'!E21)</f>
        <v/>
      </c>
      <c r="R20" s="132"/>
      <c r="S20" s="132"/>
      <c r="T20" s="132"/>
      <c r="U20" s="133">
        <f>IF('入力 (1)'!F21="","",ROUND('入力 (1)'!F21,2))</f>
        <v>3.42</v>
      </c>
      <c r="V20" s="133"/>
      <c r="W20" s="133"/>
      <c r="X20" s="133"/>
      <c r="Y20" s="133"/>
      <c r="Z20" s="133">
        <f>IF('入力 (1)'!H21="","",ROUND('入力 (1)'!H21,2))</f>
        <v>91.16</v>
      </c>
      <c r="AA20" s="133"/>
      <c r="AB20" s="133"/>
      <c r="AC20" s="133"/>
      <c r="AD20" s="133"/>
    </row>
    <row r="21" spans="1:30" ht="15.75" customHeight="1" x14ac:dyDescent="0.15">
      <c r="A21" s="80" t="str">
        <f t="shared" si="0"/>
        <v/>
      </c>
      <c r="E21" s="130">
        <f>IF('入力 (1)'!B22="","",'入力 (1)'!B22)</f>
        <v>4</v>
      </c>
      <c r="F21" s="130"/>
      <c r="G21" s="130"/>
      <c r="H21" s="131">
        <f>IF('入力 (1)'!C22="","",'入力 (1)'!C22)</f>
        <v>0.65</v>
      </c>
      <c r="I21" s="131"/>
      <c r="J21" s="131"/>
      <c r="K21" s="131">
        <f>SUM(H$12:J21)</f>
        <v>7.45</v>
      </c>
      <c r="L21" s="131"/>
      <c r="M21" s="131"/>
      <c r="N21" s="132" t="str">
        <f>IF('入力 (1)'!D22="","",'入力 (1)'!D22)</f>
        <v/>
      </c>
      <c r="O21" s="132"/>
      <c r="P21" s="132"/>
      <c r="Q21" s="132" t="str">
        <f>IF('入力 (1)'!E22="","",'入力 (1)'!E22)</f>
        <v/>
      </c>
      <c r="R21" s="132"/>
      <c r="S21" s="132"/>
      <c r="T21" s="132"/>
      <c r="U21" s="133">
        <f>IF('入力 (1)'!F22="","",ROUND('入力 (1)'!F22,2))</f>
        <v>3.26</v>
      </c>
      <c r="V21" s="133"/>
      <c r="W21" s="133"/>
      <c r="X21" s="133"/>
      <c r="Y21" s="133"/>
      <c r="Z21" s="133">
        <f>IF('入力 (1)'!H22="","",ROUND('入力 (1)'!H22,2))</f>
        <v>87.01</v>
      </c>
      <c r="AA21" s="133"/>
      <c r="AB21" s="133"/>
      <c r="AC21" s="133"/>
      <c r="AD21" s="133"/>
    </row>
    <row r="22" spans="1:30" ht="15.75" customHeight="1" x14ac:dyDescent="0.15">
      <c r="A22" s="80" t="str">
        <f t="shared" si="0"/>
        <v/>
      </c>
      <c r="E22" s="130">
        <f>IF('入力 (1)'!B23="","",'入力 (1)'!B23)</f>
        <v>4</v>
      </c>
      <c r="F22" s="130"/>
      <c r="G22" s="130"/>
      <c r="H22" s="131">
        <f>IF('入力 (1)'!C23="","",'入力 (1)'!C23)</f>
        <v>0.95</v>
      </c>
      <c r="I22" s="131"/>
      <c r="J22" s="131"/>
      <c r="K22" s="131">
        <f>SUM(H$12:J22)</f>
        <v>8.4</v>
      </c>
      <c r="L22" s="131"/>
      <c r="M22" s="131"/>
      <c r="N22" s="132" t="str">
        <f>IF('入力 (1)'!D23="","",'入力 (1)'!D23)</f>
        <v/>
      </c>
      <c r="O22" s="132"/>
      <c r="P22" s="132"/>
      <c r="Q22" s="132" t="str">
        <f>IF('入力 (1)'!E23="","",'入力 (1)'!E23)</f>
        <v/>
      </c>
      <c r="R22" s="132"/>
      <c r="S22" s="132"/>
      <c r="T22" s="132"/>
      <c r="U22" s="133">
        <f>IF('入力 (1)'!F23="","",ROUND('入力 (1)'!F23,2))</f>
        <v>3.02</v>
      </c>
      <c r="V22" s="133"/>
      <c r="W22" s="133"/>
      <c r="X22" s="133"/>
      <c r="Y22" s="133"/>
      <c r="Z22" s="133">
        <f>IF('入力 (1)'!H23="","",ROUND('入力 (1)'!H23,2))</f>
        <v>80.41</v>
      </c>
      <c r="AA22" s="133"/>
      <c r="AB22" s="133"/>
      <c r="AC22" s="133"/>
      <c r="AD22" s="133"/>
    </row>
    <row r="23" spans="1:30" ht="15.75" customHeight="1" x14ac:dyDescent="0.15">
      <c r="A23" s="80" t="str">
        <f t="shared" si="0"/>
        <v/>
      </c>
      <c r="E23" s="130">
        <f>IF('入力 (1)'!B24="","",'入力 (1)'!B24)</f>
        <v>4</v>
      </c>
      <c r="F23" s="130"/>
      <c r="G23" s="130"/>
      <c r="H23" s="131">
        <f>IF('入力 (1)'!C24="","",'入力 (1)'!C24)</f>
        <v>0.95</v>
      </c>
      <c r="I23" s="131"/>
      <c r="J23" s="131"/>
      <c r="K23" s="131">
        <f>SUM(H$12:J23)</f>
        <v>9.35</v>
      </c>
      <c r="L23" s="131"/>
      <c r="M23" s="131"/>
      <c r="N23" s="132" t="str">
        <f>IF('入力 (1)'!D24="","",'入力 (1)'!D24)</f>
        <v/>
      </c>
      <c r="O23" s="132"/>
      <c r="P23" s="132"/>
      <c r="Q23" s="132" t="str">
        <f>IF('入力 (1)'!E24="","",'入力 (1)'!E24)</f>
        <v/>
      </c>
      <c r="R23" s="132"/>
      <c r="S23" s="132"/>
      <c r="T23" s="132"/>
      <c r="U23" s="133">
        <f>IF('入力 (1)'!F24="","",ROUND('入力 (1)'!F24,2))</f>
        <v>2.74</v>
      </c>
      <c r="V23" s="133"/>
      <c r="W23" s="133"/>
      <c r="X23" s="133"/>
      <c r="Y23" s="133"/>
      <c r="Z23" s="133">
        <f>IF('入力 (1)'!H24="","",ROUND('入力 (1)'!H24,2))</f>
        <v>73.2</v>
      </c>
      <c r="AA23" s="133"/>
      <c r="AB23" s="133"/>
      <c r="AC23" s="133"/>
      <c r="AD23" s="133"/>
    </row>
    <row r="24" spans="1:30" ht="15.75" customHeight="1" x14ac:dyDescent="0.15">
      <c r="A24" s="80" t="str">
        <f t="shared" si="0"/>
        <v/>
      </c>
      <c r="E24" s="130">
        <f>IF('入力 (1)'!B25="","",'入力 (1)'!B25)</f>
        <v>4</v>
      </c>
      <c r="F24" s="130"/>
      <c r="G24" s="130"/>
      <c r="H24" s="131">
        <f>IF('入力 (1)'!C25="","",'入力 (1)'!C25)</f>
        <v>0.95</v>
      </c>
      <c r="I24" s="131"/>
      <c r="J24" s="131"/>
      <c r="K24" s="131">
        <f>SUM(H$12:J24)</f>
        <v>10.299999999999999</v>
      </c>
      <c r="L24" s="131"/>
      <c r="M24" s="131"/>
      <c r="N24" s="132" t="str">
        <f>IF('入力 (1)'!D25="","",'入力 (1)'!D25)</f>
        <v/>
      </c>
      <c r="O24" s="132"/>
      <c r="P24" s="132"/>
      <c r="Q24" s="132" t="str">
        <f>IF('入力 (1)'!E25="","",'入力 (1)'!E25)</f>
        <v/>
      </c>
      <c r="R24" s="132"/>
      <c r="S24" s="132"/>
      <c r="T24" s="132"/>
      <c r="U24" s="133">
        <f>IF('入力 (1)'!F25="","",ROUND('入力 (1)'!F25,2))</f>
        <v>2.4500000000000002</v>
      </c>
      <c r="V24" s="133"/>
      <c r="W24" s="133"/>
      <c r="X24" s="133"/>
      <c r="Y24" s="133"/>
      <c r="Z24" s="133">
        <f>IF('入力 (1)'!H25="","",ROUND('入力 (1)'!H25,2))</f>
        <v>65.44</v>
      </c>
      <c r="AA24" s="133"/>
      <c r="AB24" s="133"/>
      <c r="AC24" s="133"/>
      <c r="AD24" s="133"/>
    </row>
    <row r="25" spans="1:30" ht="15.75" customHeight="1" x14ac:dyDescent="0.15">
      <c r="A25" s="80" t="str">
        <f t="shared" si="0"/>
        <v/>
      </c>
      <c r="E25" s="130">
        <f>IF('入力 (1)'!B26="","",'入力 (1)'!B26)</f>
        <v>5</v>
      </c>
      <c r="F25" s="130"/>
      <c r="G25" s="130"/>
      <c r="H25" s="131">
        <f>IF('入力 (1)'!C26="","",'入力 (1)'!C26)</f>
        <v>0.95</v>
      </c>
      <c r="I25" s="131"/>
      <c r="J25" s="131"/>
      <c r="K25" s="131">
        <f>SUM(H$12:J25)</f>
        <v>11.249999999999998</v>
      </c>
      <c r="L25" s="131"/>
      <c r="M25" s="131"/>
      <c r="N25" s="132">
        <f>IF('入力 (1)'!D26="","",'入力 (1)'!D26)</f>
        <v>19</v>
      </c>
      <c r="O25" s="132"/>
      <c r="P25" s="132"/>
      <c r="Q25" s="132">
        <f>IF('入力 (1)'!E26="","",'入力 (1)'!E26)</f>
        <v>250</v>
      </c>
      <c r="R25" s="132"/>
      <c r="S25" s="132"/>
      <c r="T25" s="132"/>
      <c r="U25" s="133">
        <f>IF('入力 (1)'!F26="","",ROUND('入力 (1)'!F26,2))</f>
        <v>2.19</v>
      </c>
      <c r="V25" s="133"/>
      <c r="W25" s="133"/>
      <c r="X25" s="133"/>
      <c r="Y25" s="133"/>
      <c r="Z25" s="133">
        <f>IF('入力 (1)'!H26="","",ROUND('入力 (1)'!H26,2))</f>
        <v>58.45</v>
      </c>
      <c r="AA25" s="133"/>
      <c r="AB25" s="133"/>
      <c r="AC25" s="133"/>
      <c r="AD25" s="133"/>
    </row>
    <row r="26" spans="1:30" ht="15.75" customHeight="1" x14ac:dyDescent="0.15">
      <c r="A26" s="80" t="str">
        <f t="shared" si="0"/>
        <v/>
      </c>
      <c r="E26" s="130">
        <f>IF('入力 (1)'!B27="","",'入力 (1)'!B27)</f>
        <v>5</v>
      </c>
      <c r="F26" s="130"/>
      <c r="G26" s="130"/>
      <c r="H26" s="131">
        <f>IF('入力 (1)'!C27="","",'入力 (1)'!C27)</f>
        <v>0.95</v>
      </c>
      <c r="I26" s="131"/>
      <c r="J26" s="131"/>
      <c r="K26" s="131">
        <f>SUM(H$12:J26)</f>
        <v>12.199999999999998</v>
      </c>
      <c r="L26" s="131"/>
      <c r="M26" s="131"/>
      <c r="N26" s="132" t="str">
        <f>IF('入力 (1)'!D27="","",'入力 (1)'!D27)</f>
        <v/>
      </c>
      <c r="O26" s="132"/>
      <c r="P26" s="132"/>
      <c r="Q26" s="132" t="str">
        <f>IF('入力 (1)'!E27="","",'入力 (1)'!E27)</f>
        <v/>
      </c>
      <c r="R26" s="132"/>
      <c r="S26" s="132"/>
      <c r="T26" s="132"/>
      <c r="U26" s="133">
        <f>IF('入力 (1)'!F27="","",ROUND('入力 (1)'!F27,2))</f>
        <v>1.91</v>
      </c>
      <c r="V26" s="133"/>
      <c r="W26" s="133"/>
      <c r="X26" s="133"/>
      <c r="Y26" s="133"/>
      <c r="Z26" s="133">
        <f>IF('入力 (1)'!H27="","",ROUND('入力 (1)'!H27,2))</f>
        <v>51.02</v>
      </c>
      <c r="AA26" s="133"/>
      <c r="AB26" s="133"/>
      <c r="AC26" s="133"/>
      <c r="AD26" s="133"/>
    </row>
    <row r="27" spans="1:30" ht="15.75" customHeight="1" x14ac:dyDescent="0.15">
      <c r="A27" s="80" t="str">
        <f t="shared" si="0"/>
        <v/>
      </c>
      <c r="E27" s="130">
        <f>IF('入力 (1)'!B28="","",'入力 (1)'!B28)</f>
        <v>6</v>
      </c>
      <c r="F27" s="130"/>
      <c r="G27" s="130"/>
      <c r="H27" s="131">
        <f>IF('入力 (1)'!C28="","",'入力 (1)'!C28)</f>
        <v>0.998</v>
      </c>
      <c r="I27" s="131"/>
      <c r="J27" s="131"/>
      <c r="K27" s="131">
        <f>SUM(H$12:J27)</f>
        <v>13.197999999999997</v>
      </c>
      <c r="L27" s="131"/>
      <c r="M27" s="131"/>
      <c r="N27" s="132">
        <f>IF('入力 (1)'!D28="","",'入力 (1)'!D28)</f>
        <v>16</v>
      </c>
      <c r="O27" s="132"/>
      <c r="P27" s="132"/>
      <c r="Q27" s="132">
        <f>IF('入力 (1)'!E28="","",'入力 (1)'!E28)</f>
        <v>250</v>
      </c>
      <c r="R27" s="132"/>
      <c r="S27" s="132"/>
      <c r="T27" s="132"/>
      <c r="U27" s="133">
        <f>IF('入力 (1)'!F28="","",ROUND('入力 (1)'!F28,2))</f>
        <v>1.55</v>
      </c>
      <c r="V27" s="133"/>
      <c r="W27" s="133"/>
      <c r="X27" s="133"/>
      <c r="Y27" s="133"/>
      <c r="Z27" s="133">
        <f>IF('入力 (1)'!H28="","",ROUND('入力 (1)'!H28,2))</f>
        <v>41.3</v>
      </c>
      <c r="AA27" s="133"/>
      <c r="AB27" s="133"/>
      <c r="AC27" s="133"/>
      <c r="AD27" s="133"/>
    </row>
    <row r="28" spans="1:30" ht="15.75" customHeight="1" x14ac:dyDescent="0.15">
      <c r="A28" s="80" t="str">
        <f t="shared" si="0"/>
        <v/>
      </c>
      <c r="E28" s="130">
        <f>IF('入力 (1)'!B29="","",'入力 (1)'!B29)</f>
        <v>6</v>
      </c>
      <c r="F28" s="130"/>
      <c r="G28" s="130"/>
      <c r="H28" s="131">
        <f>IF('入力 (1)'!C29="","",'入力 (1)'!C29)</f>
        <v>1</v>
      </c>
      <c r="I28" s="131"/>
      <c r="J28" s="131"/>
      <c r="K28" s="131">
        <f>SUM(H$12:J28)</f>
        <v>14.197999999999997</v>
      </c>
      <c r="L28" s="131"/>
      <c r="M28" s="131"/>
      <c r="N28" s="132" t="str">
        <f>IF('入力 (1)'!D29="","",'入力 (1)'!D29)</f>
        <v/>
      </c>
      <c r="O28" s="132"/>
      <c r="P28" s="132"/>
      <c r="Q28" s="132" t="str">
        <f>IF('入力 (1)'!E29="","",'入力 (1)'!E29)</f>
        <v/>
      </c>
      <c r="R28" s="132"/>
      <c r="S28" s="132"/>
      <c r="T28" s="132"/>
      <c r="U28" s="133">
        <f>IF('入力 (1)'!F29="","",ROUND('入力 (1)'!F29,2))</f>
        <v>1.17</v>
      </c>
      <c r="V28" s="133"/>
      <c r="W28" s="133"/>
      <c r="X28" s="133"/>
      <c r="Y28" s="133"/>
      <c r="Z28" s="133">
        <f>IF('入力 (1)'!H29="","",ROUND('入力 (1)'!H29,2))</f>
        <v>31.22</v>
      </c>
      <c r="AA28" s="133"/>
      <c r="AB28" s="133"/>
      <c r="AC28" s="133"/>
      <c r="AD28" s="133"/>
    </row>
    <row r="29" spans="1:30" ht="15.75" customHeight="1" x14ac:dyDescent="0.15">
      <c r="A29" s="80" t="str">
        <f t="shared" si="0"/>
        <v/>
      </c>
      <c r="E29" s="130">
        <f>IF('入力 (1)'!B30="","",'入力 (1)'!B30)</f>
        <v>6</v>
      </c>
      <c r="F29" s="130"/>
      <c r="G29" s="130"/>
      <c r="H29" s="131">
        <f>IF('入力 (1)'!C30="","",'入力 (1)'!C30)</f>
        <v>1</v>
      </c>
      <c r="I29" s="131"/>
      <c r="J29" s="131"/>
      <c r="K29" s="131">
        <f>SUM(H$12:J29)</f>
        <v>15.197999999999997</v>
      </c>
      <c r="L29" s="131"/>
      <c r="M29" s="131"/>
      <c r="N29" s="132" t="str">
        <f>IF('入力 (1)'!D30="","",'入力 (1)'!D30)</f>
        <v/>
      </c>
      <c r="O29" s="132"/>
      <c r="P29" s="132"/>
      <c r="Q29" s="132" t="str">
        <f>IF('入力 (1)'!E30="","",'入力 (1)'!E30)</f>
        <v/>
      </c>
      <c r="R29" s="132"/>
      <c r="S29" s="132"/>
      <c r="T29" s="132"/>
      <c r="U29" s="133">
        <f>IF('入力 (1)'!F30="","",ROUND('入力 (1)'!F30,2))</f>
        <v>0.78</v>
      </c>
      <c r="V29" s="133"/>
      <c r="W29" s="133"/>
      <c r="X29" s="133"/>
      <c r="Y29" s="133"/>
      <c r="Z29" s="133">
        <f>IF('入力 (1)'!H30="","",ROUND('入力 (1)'!H30,2))</f>
        <v>20.89</v>
      </c>
      <c r="AA29" s="133"/>
      <c r="AB29" s="133"/>
      <c r="AC29" s="133"/>
      <c r="AD29" s="133"/>
    </row>
    <row r="30" spans="1:30" ht="15.75" customHeight="1" x14ac:dyDescent="0.15">
      <c r="A30" s="80" t="str">
        <f t="shared" si="0"/>
        <v/>
      </c>
      <c r="E30" s="130">
        <f>IF('入力 (1)'!B31="","",'入力 (1)'!B31)</f>
        <v>6</v>
      </c>
      <c r="F30" s="130"/>
      <c r="G30" s="130"/>
      <c r="H30" s="131">
        <f>IF('入力 (1)'!C31="","",'入力 (1)'!C31)</f>
        <v>0.10199999999999999</v>
      </c>
      <c r="I30" s="131"/>
      <c r="J30" s="131"/>
      <c r="K30" s="131">
        <f>SUM(H$12:J30)</f>
        <v>15.299999999999997</v>
      </c>
      <c r="L30" s="131"/>
      <c r="M30" s="131"/>
      <c r="N30" s="132" t="str">
        <f>IF('入力 (1)'!D31="","",'入力 (1)'!D31)</f>
        <v/>
      </c>
      <c r="O30" s="132"/>
      <c r="P30" s="132"/>
      <c r="Q30" s="132" t="str">
        <f>IF('入力 (1)'!E31="","",'入力 (1)'!E31)</f>
        <v/>
      </c>
      <c r="R30" s="132"/>
      <c r="S30" s="132"/>
      <c r="T30" s="132"/>
      <c r="U30" s="133">
        <f>IF('入力 (1)'!F31="","",ROUND('入力 (1)'!F31,2))</f>
        <v>0.74</v>
      </c>
      <c r="V30" s="133"/>
      <c r="W30" s="133"/>
      <c r="X30" s="133"/>
      <c r="Y30" s="133"/>
      <c r="Z30" s="133">
        <f>IF('入力 (1)'!H31="","",ROUND('入力 (1)'!H31,2))</f>
        <v>19.82</v>
      </c>
      <c r="AA30" s="133"/>
      <c r="AB30" s="133"/>
      <c r="AC30" s="133"/>
      <c r="AD30" s="133"/>
    </row>
    <row r="31" spans="1:30" ht="15.75" customHeight="1" x14ac:dyDescent="0.15">
      <c r="A31" s="80" t="str">
        <f t="shared" si="0"/>
        <v/>
      </c>
      <c r="E31" s="130">
        <f>IF('入力 (1)'!B32="","",'入力 (1)'!B32)</f>
        <v>7</v>
      </c>
      <c r="F31" s="130"/>
      <c r="G31" s="130"/>
      <c r="H31" s="131">
        <f>IF('入力 (1)'!C32="","",'入力 (1)'!C32)</f>
        <v>2.8980000000000001</v>
      </c>
      <c r="I31" s="131"/>
      <c r="J31" s="131"/>
      <c r="K31" s="131">
        <f>SUM(H$12:J31)</f>
        <v>18.197999999999997</v>
      </c>
      <c r="L31" s="131"/>
      <c r="M31" s="131"/>
      <c r="N31" s="132">
        <f>IF('入力 (1)'!D32="","",'入力 (1)'!D32)</f>
        <v>20</v>
      </c>
      <c r="O31" s="132"/>
      <c r="P31" s="132"/>
      <c r="Q31" s="132">
        <f>IF('入力 (1)'!E32="","",'入力 (1)'!E32)</f>
        <v>400</v>
      </c>
      <c r="R31" s="132"/>
      <c r="S31" s="132"/>
      <c r="T31" s="132"/>
      <c r="U31" s="133">
        <f>IF('入力 (1)'!F32="","",ROUND('入力 (1)'!F32,2))</f>
        <v>0.38</v>
      </c>
      <c r="V31" s="133"/>
      <c r="W31" s="133"/>
      <c r="X31" s="133"/>
      <c r="Y31" s="133"/>
      <c r="Z31" s="133">
        <f>IF('入力 (1)'!H32="","",ROUND('入力 (1)'!H32,2))</f>
        <v>10.119999999999999</v>
      </c>
      <c r="AA31" s="133"/>
      <c r="AB31" s="133"/>
      <c r="AC31" s="133"/>
      <c r="AD31" s="133"/>
    </row>
    <row r="32" spans="1:30" ht="15.75" customHeight="1" x14ac:dyDescent="0.15">
      <c r="A32" s="80" t="str">
        <f t="shared" si="0"/>
        <v/>
      </c>
      <c r="E32" s="130">
        <f>IF('入力 (1)'!B33="","",'入力 (1)'!B33)</f>
        <v>7</v>
      </c>
      <c r="F32" s="130"/>
      <c r="G32" s="130"/>
      <c r="H32" s="131">
        <f>IF('入力 (1)'!C33="","",'入力 (1)'!C33)</f>
        <v>0.90199999999999969</v>
      </c>
      <c r="I32" s="131"/>
      <c r="J32" s="131"/>
      <c r="K32" s="131">
        <f>SUM(H$12:J32)</f>
        <v>19.099999999999998</v>
      </c>
      <c r="L32" s="131"/>
      <c r="M32" s="131"/>
      <c r="N32" s="132" t="str">
        <f>IF('入力 (1)'!D33="","",'入力 (1)'!D33)</f>
        <v/>
      </c>
      <c r="O32" s="132"/>
      <c r="P32" s="132"/>
      <c r="Q32" s="132" t="str">
        <f>IF('入力 (1)'!E33="","",'入力 (1)'!E33)</f>
        <v/>
      </c>
      <c r="R32" s="132"/>
      <c r="S32" s="132"/>
      <c r="T32" s="132"/>
      <c r="U32" s="133">
        <f>IF('入力 (1)'!F33="","",ROUND('入力 (1)'!F33,2))</f>
        <v>0.26</v>
      </c>
      <c r="V32" s="133"/>
      <c r="W32" s="133"/>
      <c r="X32" s="133"/>
      <c r="Y32" s="133"/>
      <c r="Z32" s="133">
        <f>IF('入力 (1)'!H33="","",ROUND('入力 (1)'!H33,2))</f>
        <v>7.03</v>
      </c>
      <c r="AA32" s="133"/>
      <c r="AB32" s="133"/>
      <c r="AC32" s="133"/>
      <c r="AD32" s="133"/>
    </row>
    <row r="33" spans="1:30" ht="15.75" customHeight="1" x14ac:dyDescent="0.15">
      <c r="A33" s="80" t="str">
        <f t="shared" si="0"/>
        <v/>
      </c>
      <c r="E33" s="130">
        <f>IF('入力 (1)'!B34="","",'入力 (1)'!B34)</f>
        <v>8</v>
      </c>
      <c r="F33" s="130"/>
      <c r="G33" s="130"/>
      <c r="H33" s="131">
        <f>IF('入力 (1)'!C34="","",'入力 (1)'!C34)</f>
        <v>2.0980000000000003</v>
      </c>
      <c r="I33" s="131"/>
      <c r="J33" s="131"/>
      <c r="K33" s="131">
        <f>SUM(H$12:J33)</f>
        <v>21.197999999999997</v>
      </c>
      <c r="L33" s="131"/>
      <c r="M33" s="131"/>
      <c r="N33" s="132">
        <f>IF('入力 (1)'!D34="","",'入力 (1)'!D34)</f>
        <v>17</v>
      </c>
      <c r="O33" s="132"/>
      <c r="P33" s="132"/>
      <c r="Q33" s="132">
        <f>IF('入力 (1)'!E34="","",'入力 (1)'!E34)</f>
        <v>440</v>
      </c>
      <c r="R33" s="132"/>
      <c r="S33" s="132"/>
      <c r="T33" s="132"/>
      <c r="U33" s="133">
        <f>IF('入力 (1)'!F34="","",ROUND('入力 (1)'!F34,2))</f>
        <v>0</v>
      </c>
      <c r="V33" s="133"/>
      <c r="W33" s="133"/>
      <c r="X33" s="133"/>
      <c r="Y33" s="133"/>
      <c r="Z33" s="133">
        <f>IF('入力 (1)'!H34="","",ROUND('入力 (1)'!H34,2))</f>
        <v>0</v>
      </c>
      <c r="AA33" s="133"/>
      <c r="AB33" s="133"/>
      <c r="AC33" s="133"/>
      <c r="AD33" s="133"/>
    </row>
    <row r="34" spans="1:30" ht="15.75" customHeight="1" x14ac:dyDescent="0.15">
      <c r="A34" s="80" t="str">
        <f t="shared" si="0"/>
        <v>×</v>
      </c>
      <c r="E34" s="130" t="str">
        <f>IF('入力 (1)'!B35="","",'入力 (1)'!B35)</f>
        <v/>
      </c>
      <c r="F34" s="130"/>
      <c r="G34" s="130"/>
      <c r="H34" s="131" t="str">
        <f>IF('入力 (1)'!C35="","",'入力 (1)'!C35)</f>
        <v/>
      </c>
      <c r="I34" s="131"/>
      <c r="J34" s="131"/>
      <c r="K34" s="131">
        <f>SUM(H$12:J34)</f>
        <v>21.197999999999997</v>
      </c>
      <c r="L34" s="131"/>
      <c r="M34" s="131"/>
      <c r="N34" s="132" t="str">
        <f>IF('入力 (1)'!D35="","",'入力 (1)'!D35)</f>
        <v/>
      </c>
      <c r="O34" s="132"/>
      <c r="P34" s="132"/>
      <c r="Q34" s="132" t="str">
        <f>IF('入力 (1)'!E35="","",'入力 (1)'!E35)</f>
        <v/>
      </c>
      <c r="R34" s="132"/>
      <c r="S34" s="132"/>
      <c r="T34" s="132"/>
      <c r="U34" s="133" t="str">
        <f>IF('入力 (1)'!F35="","",ROUND('入力 (1)'!F35,2))</f>
        <v/>
      </c>
      <c r="V34" s="133"/>
      <c r="W34" s="133"/>
      <c r="X34" s="133"/>
      <c r="Y34" s="133"/>
      <c r="Z34" s="133" t="str">
        <f>IF('入力 (1)'!H35="","",ROUND('入力 (1)'!H35,2))</f>
        <v/>
      </c>
      <c r="AA34" s="133"/>
      <c r="AB34" s="133"/>
      <c r="AC34" s="133"/>
      <c r="AD34" s="133"/>
    </row>
    <row r="35" spans="1:30" ht="15.75" customHeight="1" x14ac:dyDescent="0.15">
      <c r="A35" s="80" t="str">
        <f t="shared" si="0"/>
        <v>×</v>
      </c>
      <c r="E35" s="130" t="str">
        <f>IF('入力 (1)'!B36="","",'入力 (1)'!B36)</f>
        <v/>
      </c>
      <c r="F35" s="130"/>
      <c r="G35" s="130"/>
      <c r="H35" s="131" t="str">
        <f>IF('入力 (1)'!C36="","",'入力 (1)'!C36)</f>
        <v/>
      </c>
      <c r="I35" s="131"/>
      <c r="J35" s="131"/>
      <c r="K35" s="131">
        <f>SUM(H$12:J35)</f>
        <v>21.197999999999997</v>
      </c>
      <c r="L35" s="131"/>
      <c r="M35" s="131"/>
      <c r="N35" s="132" t="str">
        <f>IF('入力 (1)'!D36="","",'入力 (1)'!D36)</f>
        <v/>
      </c>
      <c r="O35" s="132"/>
      <c r="P35" s="132"/>
      <c r="Q35" s="132" t="str">
        <f>IF('入力 (1)'!E36="","",'入力 (1)'!E36)</f>
        <v/>
      </c>
      <c r="R35" s="132"/>
      <c r="S35" s="132"/>
      <c r="T35" s="132"/>
      <c r="U35" s="133" t="str">
        <f>IF('入力 (1)'!F36="","",ROUND('入力 (1)'!F36,2))</f>
        <v/>
      </c>
      <c r="V35" s="133"/>
      <c r="W35" s="133"/>
      <c r="X35" s="133"/>
      <c r="Y35" s="133"/>
      <c r="Z35" s="133" t="str">
        <f>IF('入力 (1)'!H36="","",ROUND('入力 (1)'!H36,2))</f>
        <v/>
      </c>
      <c r="AA35" s="133"/>
      <c r="AB35" s="133"/>
      <c r="AC35" s="133"/>
      <c r="AD35" s="133"/>
    </row>
    <row r="36" spans="1:30" ht="15.75" customHeight="1" x14ac:dyDescent="0.15">
      <c r="A36" s="80" t="str">
        <f t="shared" si="0"/>
        <v>×</v>
      </c>
      <c r="E36" s="130" t="str">
        <f>IF('入力 (1)'!B37="","",'入力 (1)'!B37)</f>
        <v/>
      </c>
      <c r="F36" s="130"/>
      <c r="G36" s="130"/>
      <c r="H36" s="131" t="str">
        <f>IF('入力 (1)'!C37="","",'入力 (1)'!C37)</f>
        <v/>
      </c>
      <c r="I36" s="131"/>
      <c r="J36" s="131"/>
      <c r="K36" s="131">
        <f>SUM(H$12:J36)</f>
        <v>21.197999999999997</v>
      </c>
      <c r="L36" s="131"/>
      <c r="M36" s="131"/>
      <c r="N36" s="132" t="str">
        <f>IF('入力 (1)'!D37="","",'入力 (1)'!D37)</f>
        <v/>
      </c>
      <c r="O36" s="132"/>
      <c r="P36" s="132"/>
      <c r="Q36" s="132" t="str">
        <f>IF('入力 (1)'!E37="","",'入力 (1)'!E37)</f>
        <v/>
      </c>
      <c r="R36" s="132"/>
      <c r="S36" s="132"/>
      <c r="T36" s="132"/>
      <c r="U36" s="133" t="str">
        <f>IF('入力 (1)'!F37="","",ROUND('入力 (1)'!F37,2))</f>
        <v/>
      </c>
      <c r="V36" s="133"/>
      <c r="W36" s="133"/>
      <c r="X36" s="133"/>
      <c r="Y36" s="133"/>
      <c r="Z36" s="133" t="str">
        <f>IF('入力 (1)'!H37="","",ROUND('入力 (1)'!H37,2))</f>
        <v/>
      </c>
      <c r="AA36" s="133"/>
      <c r="AB36" s="133"/>
      <c r="AC36" s="133"/>
      <c r="AD36" s="133"/>
    </row>
    <row r="37" spans="1:30" ht="15.75" customHeight="1" x14ac:dyDescent="0.15">
      <c r="A37" s="80" t="str">
        <f t="shared" si="0"/>
        <v>×</v>
      </c>
      <c r="E37" s="130" t="str">
        <f>IF('入力 (1)'!B38="","",'入力 (1)'!B38)</f>
        <v/>
      </c>
      <c r="F37" s="130"/>
      <c r="G37" s="130"/>
      <c r="H37" s="131" t="str">
        <f>IF('入力 (1)'!C38="","",'入力 (1)'!C38)</f>
        <v/>
      </c>
      <c r="I37" s="131"/>
      <c r="J37" s="131"/>
      <c r="K37" s="131">
        <f>SUM(H$12:J37)</f>
        <v>21.197999999999997</v>
      </c>
      <c r="L37" s="131"/>
      <c r="M37" s="131"/>
      <c r="N37" s="132" t="str">
        <f>IF('入力 (1)'!D38="","",'入力 (1)'!D38)</f>
        <v/>
      </c>
      <c r="O37" s="132"/>
      <c r="P37" s="132"/>
      <c r="Q37" s="132" t="str">
        <f>IF('入力 (1)'!E38="","",'入力 (1)'!E38)</f>
        <v/>
      </c>
      <c r="R37" s="132"/>
      <c r="S37" s="132"/>
      <c r="T37" s="132"/>
      <c r="U37" s="133" t="str">
        <f>IF('入力 (1)'!F38="","",ROUND('入力 (1)'!F38,2))</f>
        <v/>
      </c>
      <c r="V37" s="133"/>
      <c r="W37" s="133"/>
      <c r="X37" s="133"/>
      <c r="Y37" s="133"/>
      <c r="Z37" s="133" t="str">
        <f>IF('入力 (1)'!H38="","",ROUND('入力 (1)'!H38,2))</f>
        <v/>
      </c>
      <c r="AA37" s="133"/>
      <c r="AB37" s="133"/>
      <c r="AC37" s="133"/>
      <c r="AD37" s="133"/>
    </row>
    <row r="38" spans="1:30" ht="15.75" customHeight="1" x14ac:dyDescent="0.15">
      <c r="A38" s="80" t="str">
        <f t="shared" si="0"/>
        <v>×</v>
      </c>
      <c r="E38" s="130" t="str">
        <f>IF('入力 (1)'!B39="","",'入力 (1)'!B39)</f>
        <v/>
      </c>
      <c r="F38" s="130"/>
      <c r="G38" s="130"/>
      <c r="H38" s="131" t="str">
        <f>IF('入力 (1)'!C39="","",'入力 (1)'!C39)</f>
        <v/>
      </c>
      <c r="I38" s="131"/>
      <c r="J38" s="131"/>
      <c r="K38" s="131">
        <f>SUM(H$12:J38)</f>
        <v>21.197999999999997</v>
      </c>
      <c r="L38" s="131"/>
      <c r="M38" s="131"/>
      <c r="N38" s="132" t="str">
        <f>IF('入力 (1)'!D39="","",'入力 (1)'!D39)</f>
        <v/>
      </c>
      <c r="O38" s="132"/>
      <c r="P38" s="132"/>
      <c r="Q38" s="132" t="str">
        <f>IF('入力 (1)'!E39="","",'入力 (1)'!E39)</f>
        <v/>
      </c>
      <c r="R38" s="132"/>
      <c r="S38" s="132"/>
      <c r="T38" s="132"/>
      <c r="U38" s="133" t="str">
        <f>IF('入力 (1)'!F39="","",ROUND('入力 (1)'!F39,2))</f>
        <v/>
      </c>
      <c r="V38" s="133"/>
      <c r="W38" s="133"/>
      <c r="X38" s="133"/>
      <c r="Y38" s="133"/>
      <c r="Z38" s="133" t="str">
        <f>IF('入力 (1)'!H39="","",ROUND('入力 (1)'!H39,2))</f>
        <v/>
      </c>
      <c r="AA38" s="133"/>
      <c r="AB38" s="133"/>
      <c r="AC38" s="133"/>
      <c r="AD38" s="133"/>
    </row>
    <row r="39" spans="1:30" ht="15.75" customHeight="1" x14ac:dyDescent="0.15">
      <c r="A39" s="80" t="str">
        <f t="shared" si="0"/>
        <v>×</v>
      </c>
      <c r="E39" s="130" t="str">
        <f>IF('入力 (1)'!B40="","",'入力 (1)'!B40)</f>
        <v/>
      </c>
      <c r="F39" s="130"/>
      <c r="G39" s="130"/>
      <c r="H39" s="131" t="str">
        <f>IF('入力 (1)'!C40="","",'入力 (1)'!C40)</f>
        <v/>
      </c>
      <c r="I39" s="131"/>
      <c r="J39" s="131"/>
      <c r="K39" s="131">
        <f>SUM(H$12:J39)</f>
        <v>21.197999999999997</v>
      </c>
      <c r="L39" s="131"/>
      <c r="M39" s="131"/>
      <c r="N39" s="132" t="str">
        <f>IF('入力 (1)'!D40="","",'入力 (1)'!D40)</f>
        <v/>
      </c>
      <c r="O39" s="132"/>
      <c r="P39" s="132"/>
      <c r="Q39" s="132" t="str">
        <f>IF('入力 (1)'!E40="","",'入力 (1)'!E40)</f>
        <v/>
      </c>
      <c r="R39" s="132"/>
      <c r="S39" s="132"/>
      <c r="T39" s="132"/>
      <c r="U39" s="133" t="str">
        <f>IF('入力 (1)'!F40="","",ROUND('入力 (1)'!F40,2))</f>
        <v/>
      </c>
      <c r="V39" s="133"/>
      <c r="W39" s="133"/>
      <c r="X39" s="133"/>
      <c r="Y39" s="133"/>
      <c r="Z39" s="133" t="str">
        <f>IF('入力 (1)'!H40="","",ROUND('入力 (1)'!H40,2))</f>
        <v/>
      </c>
      <c r="AA39" s="133"/>
      <c r="AB39" s="133"/>
      <c r="AC39" s="133"/>
      <c r="AD39" s="133"/>
    </row>
    <row r="40" spans="1:30" ht="15.75" customHeight="1" x14ac:dyDescent="0.15">
      <c r="A40" s="80" t="str">
        <f t="shared" si="0"/>
        <v>×</v>
      </c>
      <c r="E40" s="130" t="str">
        <f>IF('入力 (1)'!B41="","",'入力 (1)'!B41)</f>
        <v/>
      </c>
      <c r="F40" s="130"/>
      <c r="G40" s="130"/>
      <c r="H40" s="131" t="str">
        <f>IF('入力 (1)'!C41="","",'入力 (1)'!C41)</f>
        <v/>
      </c>
      <c r="I40" s="131"/>
      <c r="J40" s="131"/>
      <c r="K40" s="131">
        <f>SUM(H$12:J40)</f>
        <v>21.197999999999997</v>
      </c>
      <c r="L40" s="131"/>
      <c r="M40" s="131"/>
      <c r="N40" s="132" t="str">
        <f>IF('入力 (1)'!D41="","",'入力 (1)'!D41)</f>
        <v/>
      </c>
      <c r="O40" s="132"/>
      <c r="P40" s="132"/>
      <c r="Q40" s="132" t="str">
        <f>IF('入力 (1)'!E41="","",'入力 (1)'!E41)</f>
        <v/>
      </c>
      <c r="R40" s="132"/>
      <c r="S40" s="132"/>
      <c r="T40" s="132"/>
      <c r="U40" s="133" t="str">
        <f>IF('入力 (1)'!F41="","",ROUND('入力 (1)'!F41,2))</f>
        <v/>
      </c>
      <c r="V40" s="133"/>
      <c r="W40" s="133"/>
      <c r="X40" s="133"/>
      <c r="Y40" s="133"/>
      <c r="Z40" s="133" t="str">
        <f>IF('入力 (1)'!H41="","",ROUND('入力 (1)'!H41,2))</f>
        <v/>
      </c>
      <c r="AA40" s="133"/>
      <c r="AB40" s="133"/>
      <c r="AC40" s="133"/>
      <c r="AD40" s="133"/>
    </row>
    <row r="41" spans="1:30" ht="15.75" customHeight="1" x14ac:dyDescent="0.15">
      <c r="A41" s="80" t="str">
        <f t="shared" si="0"/>
        <v>×</v>
      </c>
      <c r="E41" s="130" t="str">
        <f>IF('入力 (1)'!B42="","",'入力 (1)'!B42)</f>
        <v/>
      </c>
      <c r="F41" s="130"/>
      <c r="G41" s="130"/>
      <c r="H41" s="131" t="str">
        <f>IF('入力 (1)'!C42="","",'入力 (1)'!C42)</f>
        <v/>
      </c>
      <c r="I41" s="131"/>
      <c r="J41" s="131"/>
      <c r="K41" s="131">
        <f>SUM(H$12:J41)</f>
        <v>21.197999999999997</v>
      </c>
      <c r="L41" s="131"/>
      <c r="M41" s="131"/>
      <c r="N41" s="132" t="str">
        <f>IF('入力 (1)'!D42="","",'入力 (1)'!D42)</f>
        <v/>
      </c>
      <c r="O41" s="132"/>
      <c r="P41" s="132"/>
      <c r="Q41" s="132" t="str">
        <f>IF('入力 (1)'!E42="","",'入力 (1)'!E42)</f>
        <v/>
      </c>
      <c r="R41" s="132"/>
      <c r="S41" s="132"/>
      <c r="T41" s="132"/>
      <c r="U41" s="133" t="str">
        <f>IF('入力 (1)'!F42="","",ROUND('入力 (1)'!F42,2))</f>
        <v/>
      </c>
      <c r="V41" s="133"/>
      <c r="W41" s="133"/>
      <c r="X41" s="133"/>
      <c r="Y41" s="133"/>
      <c r="Z41" s="133" t="str">
        <f>IF('入力 (1)'!H42="","",ROUND('入力 (1)'!H42,2))</f>
        <v/>
      </c>
      <c r="AA41" s="133"/>
      <c r="AB41" s="133"/>
      <c r="AC41" s="133"/>
      <c r="AD41" s="133"/>
    </row>
    <row r="42" spans="1:30" ht="15.75" customHeight="1" x14ac:dyDescent="0.15">
      <c r="A42" s="80" t="str">
        <f t="shared" si="0"/>
        <v>×</v>
      </c>
      <c r="E42" s="130" t="str">
        <f>IF('入力 (1)'!B43="","",'入力 (1)'!B43)</f>
        <v/>
      </c>
      <c r="F42" s="130"/>
      <c r="G42" s="130"/>
      <c r="H42" s="131" t="str">
        <f>IF('入力 (1)'!C43="","",'入力 (1)'!C43)</f>
        <v/>
      </c>
      <c r="I42" s="131"/>
      <c r="J42" s="131"/>
      <c r="K42" s="131">
        <f>SUM(H$12:J42)</f>
        <v>21.197999999999997</v>
      </c>
      <c r="L42" s="131"/>
      <c r="M42" s="131"/>
      <c r="N42" s="132" t="str">
        <f>IF('入力 (1)'!D43="","",'入力 (1)'!D43)</f>
        <v/>
      </c>
      <c r="O42" s="132"/>
      <c r="P42" s="132"/>
      <c r="Q42" s="132" t="str">
        <f>IF('入力 (1)'!E43="","",'入力 (1)'!E43)</f>
        <v/>
      </c>
      <c r="R42" s="132"/>
      <c r="S42" s="132"/>
      <c r="T42" s="132"/>
      <c r="U42" s="133" t="str">
        <f>IF('入力 (1)'!F43="","",ROUND('入力 (1)'!F43,2))</f>
        <v/>
      </c>
      <c r="V42" s="133"/>
      <c r="W42" s="133"/>
      <c r="X42" s="133"/>
      <c r="Y42" s="133"/>
      <c r="Z42" s="133" t="str">
        <f>IF('入力 (1)'!H43="","",ROUND('入力 (1)'!H43,2))</f>
        <v/>
      </c>
      <c r="AA42" s="133"/>
      <c r="AB42" s="133"/>
      <c r="AC42" s="133"/>
      <c r="AD42" s="133"/>
    </row>
    <row r="43" spans="1:30" ht="15.75" customHeight="1" x14ac:dyDescent="0.15">
      <c r="A43" s="80" t="str">
        <f t="shared" si="0"/>
        <v>×</v>
      </c>
      <c r="E43" s="130" t="str">
        <f>IF('入力 (1)'!B44="","",'入力 (1)'!B44)</f>
        <v/>
      </c>
      <c r="F43" s="130"/>
      <c r="G43" s="130"/>
      <c r="H43" s="131" t="str">
        <f>IF('入力 (1)'!C44="","",'入力 (1)'!C44)</f>
        <v/>
      </c>
      <c r="I43" s="131"/>
      <c r="J43" s="131"/>
      <c r="K43" s="131">
        <f>SUM(H$12:J43)</f>
        <v>21.197999999999997</v>
      </c>
      <c r="L43" s="131"/>
      <c r="M43" s="131"/>
      <c r="N43" s="132" t="str">
        <f>IF('入力 (1)'!D44="","",'入力 (1)'!D44)</f>
        <v/>
      </c>
      <c r="O43" s="132"/>
      <c r="P43" s="132"/>
      <c r="Q43" s="132" t="str">
        <f>IF('入力 (1)'!E44="","",'入力 (1)'!E44)</f>
        <v/>
      </c>
      <c r="R43" s="132"/>
      <c r="S43" s="132"/>
      <c r="T43" s="132"/>
      <c r="U43" s="133" t="str">
        <f>IF('入力 (1)'!F44="","",ROUND('入力 (1)'!F44,2))</f>
        <v/>
      </c>
      <c r="V43" s="133"/>
      <c r="W43" s="133"/>
      <c r="X43" s="133"/>
      <c r="Y43" s="133"/>
      <c r="Z43" s="133" t="str">
        <f>IF('入力 (1)'!H44="","",ROUND('入力 (1)'!H44,2))</f>
        <v/>
      </c>
      <c r="AA43" s="133"/>
      <c r="AB43" s="133"/>
      <c r="AC43" s="133"/>
      <c r="AD43" s="133"/>
    </row>
    <row r="44" spans="1:30" ht="15.75" customHeight="1" x14ac:dyDescent="0.15">
      <c r="A44" s="80" t="str">
        <f t="shared" si="0"/>
        <v>×</v>
      </c>
      <c r="E44" s="130" t="str">
        <f>IF('入力 (1)'!B45="","",'入力 (1)'!B45)</f>
        <v/>
      </c>
      <c r="F44" s="130"/>
      <c r="G44" s="130"/>
      <c r="H44" s="131" t="str">
        <f>IF('入力 (1)'!C45="","",'入力 (1)'!C45)</f>
        <v/>
      </c>
      <c r="I44" s="131"/>
      <c r="J44" s="131"/>
      <c r="K44" s="131">
        <f>SUM(H$12:J44)</f>
        <v>21.197999999999997</v>
      </c>
      <c r="L44" s="131"/>
      <c r="M44" s="131"/>
      <c r="N44" s="132" t="str">
        <f>IF('入力 (1)'!D45="","",'入力 (1)'!D45)</f>
        <v/>
      </c>
      <c r="O44" s="132"/>
      <c r="P44" s="132"/>
      <c r="Q44" s="132" t="str">
        <f>IF('入力 (1)'!E45="","",'入力 (1)'!E45)</f>
        <v/>
      </c>
      <c r="R44" s="132"/>
      <c r="S44" s="132"/>
      <c r="T44" s="132"/>
      <c r="U44" s="133" t="str">
        <f>IF('入力 (1)'!F45="","",ROUND('入力 (1)'!F45,2))</f>
        <v/>
      </c>
      <c r="V44" s="133"/>
      <c r="W44" s="133"/>
      <c r="X44" s="133"/>
      <c r="Y44" s="133"/>
      <c r="Z44" s="133" t="str">
        <f>IF('入力 (1)'!H45="","",ROUND('入力 (1)'!H45,2))</f>
        <v/>
      </c>
      <c r="AA44" s="133"/>
      <c r="AB44" s="133"/>
      <c r="AC44" s="133"/>
      <c r="AD44" s="133"/>
    </row>
    <row r="45" spans="1:30" ht="15.75" customHeight="1" x14ac:dyDescent="0.15">
      <c r="A45" s="80" t="str">
        <f t="shared" ref="A45:A70" si="1">IF(H45="","×","")</f>
        <v>×</v>
      </c>
      <c r="E45" s="130" t="str">
        <f>IF('入力 (1)'!B46="","",'入力 (1)'!B46)</f>
        <v/>
      </c>
      <c r="F45" s="130"/>
      <c r="G45" s="130"/>
      <c r="H45" s="131" t="str">
        <f>IF('入力 (1)'!C46="","",'入力 (1)'!C46)</f>
        <v/>
      </c>
      <c r="I45" s="131"/>
      <c r="J45" s="131"/>
      <c r="K45" s="131">
        <f>SUM(H$12:J45)</f>
        <v>21.197999999999997</v>
      </c>
      <c r="L45" s="131"/>
      <c r="M45" s="131"/>
      <c r="N45" s="132" t="str">
        <f>IF('入力 (1)'!D46="","",'入力 (1)'!D46)</f>
        <v/>
      </c>
      <c r="O45" s="132"/>
      <c r="P45" s="132"/>
      <c r="Q45" s="132" t="str">
        <f>IF('入力 (1)'!E46="","",'入力 (1)'!E46)</f>
        <v/>
      </c>
      <c r="R45" s="132"/>
      <c r="S45" s="132"/>
      <c r="T45" s="132"/>
      <c r="U45" s="133" t="str">
        <f>IF('入力 (1)'!F46="","",ROUND('入力 (1)'!F46,2))</f>
        <v/>
      </c>
      <c r="V45" s="133"/>
      <c r="W45" s="133"/>
      <c r="X45" s="133"/>
      <c r="Y45" s="133"/>
      <c r="Z45" s="133" t="str">
        <f>IF('入力 (1)'!H46="","",ROUND('入力 (1)'!H46,2))</f>
        <v/>
      </c>
      <c r="AA45" s="133"/>
      <c r="AB45" s="133"/>
      <c r="AC45" s="133"/>
      <c r="AD45" s="133"/>
    </row>
    <row r="46" spans="1:30" ht="15.75" customHeight="1" x14ac:dyDescent="0.15">
      <c r="A46" s="80" t="str">
        <f t="shared" si="1"/>
        <v>×</v>
      </c>
      <c r="E46" s="130" t="str">
        <f>IF('入力 (1)'!B47="","",'入力 (1)'!B47)</f>
        <v/>
      </c>
      <c r="F46" s="130"/>
      <c r="G46" s="130"/>
      <c r="H46" s="131" t="str">
        <f>IF('入力 (1)'!C47="","",'入力 (1)'!C47)</f>
        <v/>
      </c>
      <c r="I46" s="131"/>
      <c r="J46" s="131"/>
      <c r="K46" s="131">
        <f>SUM(H$12:J46)</f>
        <v>21.197999999999997</v>
      </c>
      <c r="L46" s="131"/>
      <c r="M46" s="131"/>
      <c r="N46" s="132" t="str">
        <f>IF('入力 (1)'!D47="","",'入力 (1)'!D47)</f>
        <v/>
      </c>
      <c r="O46" s="132"/>
      <c r="P46" s="132"/>
      <c r="Q46" s="132" t="str">
        <f>IF('入力 (1)'!E47="","",'入力 (1)'!E47)</f>
        <v/>
      </c>
      <c r="R46" s="132"/>
      <c r="S46" s="132"/>
      <c r="T46" s="132"/>
      <c r="U46" s="133" t="str">
        <f>IF('入力 (1)'!F47="","",ROUND('入力 (1)'!F47,2))</f>
        <v/>
      </c>
      <c r="V46" s="133"/>
      <c r="W46" s="133"/>
      <c r="X46" s="133"/>
      <c r="Y46" s="133"/>
      <c r="Z46" s="133" t="str">
        <f>IF('入力 (1)'!H47="","",ROUND('入力 (1)'!H47,2))</f>
        <v/>
      </c>
      <c r="AA46" s="133"/>
      <c r="AB46" s="133"/>
      <c r="AC46" s="133"/>
      <c r="AD46" s="133"/>
    </row>
    <row r="47" spans="1:30" ht="15.75" customHeight="1" x14ac:dyDescent="0.15">
      <c r="A47" s="80" t="str">
        <f t="shared" si="1"/>
        <v>×</v>
      </c>
      <c r="E47" s="130" t="str">
        <f>IF('入力 (1)'!B48="","",'入力 (1)'!B48)</f>
        <v/>
      </c>
      <c r="F47" s="130"/>
      <c r="G47" s="130"/>
      <c r="H47" s="131" t="str">
        <f>IF('入力 (1)'!C48="","",'入力 (1)'!C48)</f>
        <v/>
      </c>
      <c r="I47" s="131"/>
      <c r="J47" s="131"/>
      <c r="K47" s="131">
        <f>SUM(H$12:J47)</f>
        <v>21.197999999999997</v>
      </c>
      <c r="L47" s="131"/>
      <c r="M47" s="131"/>
      <c r="N47" s="132" t="str">
        <f>IF('入力 (1)'!D48="","",'入力 (1)'!D48)</f>
        <v/>
      </c>
      <c r="O47" s="132"/>
      <c r="P47" s="132"/>
      <c r="Q47" s="132" t="str">
        <f>IF('入力 (1)'!E48="","",'入力 (1)'!E48)</f>
        <v/>
      </c>
      <c r="R47" s="132"/>
      <c r="S47" s="132"/>
      <c r="T47" s="132"/>
      <c r="U47" s="133" t="str">
        <f>IF('入力 (1)'!F48="","",ROUND('入力 (1)'!F48,2))</f>
        <v/>
      </c>
      <c r="V47" s="133"/>
      <c r="W47" s="133"/>
      <c r="X47" s="133"/>
      <c r="Y47" s="133"/>
      <c r="Z47" s="133" t="str">
        <f>IF('入力 (1)'!H48="","",ROUND('入力 (1)'!H48,2))</f>
        <v/>
      </c>
      <c r="AA47" s="133"/>
      <c r="AB47" s="133"/>
      <c r="AC47" s="133"/>
      <c r="AD47" s="133"/>
    </row>
    <row r="48" spans="1:30" ht="15.75" customHeight="1" x14ac:dyDescent="0.15">
      <c r="A48" s="80" t="str">
        <f t="shared" si="1"/>
        <v>×</v>
      </c>
      <c r="E48" s="130" t="str">
        <f>IF('入力 (1)'!B49="","",'入力 (1)'!B49)</f>
        <v/>
      </c>
      <c r="F48" s="130"/>
      <c r="G48" s="130"/>
      <c r="H48" s="131" t="str">
        <f>IF('入力 (1)'!C49="","",'入力 (1)'!C49)</f>
        <v/>
      </c>
      <c r="I48" s="131"/>
      <c r="J48" s="131"/>
      <c r="K48" s="131">
        <f>SUM(H$12:J48)</f>
        <v>21.197999999999997</v>
      </c>
      <c r="L48" s="131"/>
      <c r="M48" s="131"/>
      <c r="N48" s="132" t="str">
        <f>IF('入力 (1)'!D49="","",'入力 (1)'!D49)</f>
        <v/>
      </c>
      <c r="O48" s="132"/>
      <c r="P48" s="132"/>
      <c r="Q48" s="132" t="str">
        <f>IF('入力 (1)'!E49="","",'入力 (1)'!E49)</f>
        <v/>
      </c>
      <c r="R48" s="132"/>
      <c r="S48" s="132"/>
      <c r="T48" s="132"/>
      <c r="U48" s="133" t="str">
        <f>IF('入力 (1)'!F49="","",ROUND('入力 (1)'!F49,2))</f>
        <v/>
      </c>
      <c r="V48" s="133"/>
      <c r="W48" s="133"/>
      <c r="X48" s="133"/>
      <c r="Y48" s="133"/>
      <c r="Z48" s="133" t="str">
        <f>IF('入力 (1)'!H49="","",ROUND('入力 (1)'!H49,2))</f>
        <v/>
      </c>
      <c r="AA48" s="133"/>
      <c r="AB48" s="133"/>
      <c r="AC48" s="133"/>
      <c r="AD48" s="133"/>
    </row>
    <row r="49" spans="1:30" ht="15.75" customHeight="1" x14ac:dyDescent="0.15">
      <c r="A49" s="80" t="str">
        <f t="shared" si="1"/>
        <v>×</v>
      </c>
      <c r="E49" s="130" t="str">
        <f>IF('入力 (1)'!B50="","",'入力 (1)'!B50)</f>
        <v/>
      </c>
      <c r="F49" s="130"/>
      <c r="G49" s="130"/>
      <c r="H49" s="131" t="str">
        <f>IF('入力 (1)'!C50="","",'入力 (1)'!C50)</f>
        <v/>
      </c>
      <c r="I49" s="131"/>
      <c r="J49" s="131"/>
      <c r="K49" s="131">
        <f>SUM(H$12:J49)</f>
        <v>21.197999999999997</v>
      </c>
      <c r="L49" s="131"/>
      <c r="M49" s="131"/>
      <c r="N49" s="132" t="str">
        <f>IF('入力 (1)'!D50="","",'入力 (1)'!D50)</f>
        <v/>
      </c>
      <c r="O49" s="132"/>
      <c r="P49" s="132"/>
      <c r="Q49" s="132" t="str">
        <f>IF('入力 (1)'!E50="","",'入力 (1)'!E50)</f>
        <v/>
      </c>
      <c r="R49" s="132"/>
      <c r="S49" s="132"/>
      <c r="T49" s="132"/>
      <c r="U49" s="133" t="str">
        <f>IF('入力 (1)'!F50="","",ROUND('入力 (1)'!F50,2))</f>
        <v/>
      </c>
      <c r="V49" s="133"/>
      <c r="W49" s="133"/>
      <c r="X49" s="133"/>
      <c r="Y49" s="133"/>
      <c r="Z49" s="133" t="str">
        <f>IF('入力 (1)'!H50="","",ROUND('入力 (1)'!H50,2))</f>
        <v/>
      </c>
      <c r="AA49" s="133"/>
      <c r="AB49" s="133"/>
      <c r="AC49" s="133"/>
      <c r="AD49" s="133"/>
    </row>
    <row r="50" spans="1:30" ht="15.75" customHeight="1" x14ac:dyDescent="0.15">
      <c r="A50" s="80" t="str">
        <f t="shared" si="1"/>
        <v>×</v>
      </c>
      <c r="E50" s="130" t="str">
        <f>IF('入力 (1)'!B51="","",'入力 (1)'!B51)</f>
        <v/>
      </c>
      <c r="F50" s="130"/>
      <c r="G50" s="130"/>
      <c r="H50" s="131" t="str">
        <f>IF('入力 (1)'!C51="","",'入力 (1)'!C51)</f>
        <v/>
      </c>
      <c r="I50" s="131"/>
      <c r="J50" s="131"/>
      <c r="K50" s="131">
        <f>SUM(H$12:J50)</f>
        <v>21.197999999999997</v>
      </c>
      <c r="L50" s="131"/>
      <c r="M50" s="131"/>
      <c r="N50" s="132" t="str">
        <f>IF('入力 (1)'!D51="","",'入力 (1)'!D51)</f>
        <v/>
      </c>
      <c r="O50" s="132"/>
      <c r="P50" s="132"/>
      <c r="Q50" s="132" t="str">
        <f>IF('入力 (1)'!E51="","",'入力 (1)'!E51)</f>
        <v/>
      </c>
      <c r="R50" s="132"/>
      <c r="S50" s="132"/>
      <c r="T50" s="132"/>
      <c r="U50" s="133" t="str">
        <f>IF('入力 (1)'!F51="","",ROUND('入力 (1)'!F51,2))</f>
        <v/>
      </c>
      <c r="V50" s="133"/>
      <c r="W50" s="133"/>
      <c r="X50" s="133"/>
      <c r="Y50" s="133"/>
      <c r="Z50" s="133" t="str">
        <f>IF('入力 (1)'!H51="","",ROUND('入力 (1)'!H51,2))</f>
        <v/>
      </c>
      <c r="AA50" s="133"/>
      <c r="AB50" s="133"/>
      <c r="AC50" s="133"/>
      <c r="AD50" s="133"/>
    </row>
    <row r="51" spans="1:30" ht="15.75" customHeight="1" x14ac:dyDescent="0.15">
      <c r="A51" s="80" t="str">
        <f t="shared" si="1"/>
        <v>×</v>
      </c>
      <c r="E51" s="130" t="str">
        <f>IF('入力 (1)'!B52="","",'入力 (1)'!B52)</f>
        <v/>
      </c>
      <c r="F51" s="130"/>
      <c r="G51" s="130"/>
      <c r="H51" s="131" t="str">
        <f>IF('入力 (1)'!C52="","",'入力 (1)'!C52)</f>
        <v/>
      </c>
      <c r="I51" s="131"/>
      <c r="J51" s="131"/>
      <c r="K51" s="131">
        <f>SUM(H$12:J51)</f>
        <v>21.197999999999997</v>
      </c>
      <c r="L51" s="131"/>
      <c r="M51" s="131"/>
      <c r="N51" s="132" t="str">
        <f>IF('入力 (1)'!D52="","",'入力 (1)'!D52)</f>
        <v/>
      </c>
      <c r="O51" s="132"/>
      <c r="P51" s="132"/>
      <c r="Q51" s="132" t="str">
        <f>IF('入力 (1)'!E52="","",'入力 (1)'!E52)</f>
        <v/>
      </c>
      <c r="R51" s="132"/>
      <c r="S51" s="132"/>
      <c r="T51" s="132"/>
      <c r="U51" s="133" t="str">
        <f>IF('入力 (1)'!F52="","",ROUND('入力 (1)'!F52,2))</f>
        <v/>
      </c>
      <c r="V51" s="133"/>
      <c r="W51" s="133"/>
      <c r="X51" s="133"/>
      <c r="Y51" s="133"/>
      <c r="Z51" s="133" t="str">
        <f>IF('入力 (1)'!H52="","",ROUND('入力 (1)'!H52,2))</f>
        <v/>
      </c>
      <c r="AA51" s="133"/>
      <c r="AB51" s="133"/>
      <c r="AC51" s="133"/>
      <c r="AD51" s="133"/>
    </row>
    <row r="52" spans="1:30" ht="15.75" customHeight="1" x14ac:dyDescent="0.15">
      <c r="A52" s="80" t="str">
        <f t="shared" si="1"/>
        <v>×</v>
      </c>
      <c r="E52" s="130" t="str">
        <f>IF('入力 (1)'!B53="","",'入力 (1)'!B53)</f>
        <v/>
      </c>
      <c r="F52" s="130"/>
      <c r="G52" s="130"/>
      <c r="H52" s="131" t="str">
        <f>IF('入力 (1)'!C53="","",'入力 (1)'!C53)</f>
        <v/>
      </c>
      <c r="I52" s="131"/>
      <c r="J52" s="131"/>
      <c r="K52" s="131">
        <f>SUM(H$12:J52)</f>
        <v>21.197999999999997</v>
      </c>
      <c r="L52" s="131"/>
      <c r="M52" s="131"/>
      <c r="N52" s="132" t="str">
        <f>IF('入力 (1)'!D53="","",'入力 (1)'!D53)</f>
        <v/>
      </c>
      <c r="O52" s="132"/>
      <c r="P52" s="132"/>
      <c r="Q52" s="132" t="str">
        <f>IF('入力 (1)'!E53="","",'入力 (1)'!E53)</f>
        <v/>
      </c>
      <c r="R52" s="132"/>
      <c r="S52" s="132"/>
      <c r="T52" s="132"/>
      <c r="U52" s="133" t="str">
        <f>IF('入力 (1)'!F53="","",ROUND('入力 (1)'!F53,2))</f>
        <v/>
      </c>
      <c r="V52" s="133"/>
      <c r="W52" s="133"/>
      <c r="X52" s="133"/>
      <c r="Y52" s="133"/>
      <c r="Z52" s="133" t="str">
        <f>IF('入力 (1)'!H53="","",ROUND('入力 (1)'!H53,2))</f>
        <v/>
      </c>
      <c r="AA52" s="133"/>
      <c r="AB52" s="133"/>
      <c r="AC52" s="133"/>
      <c r="AD52" s="133"/>
    </row>
    <row r="53" spans="1:30" ht="15.75" customHeight="1" x14ac:dyDescent="0.15">
      <c r="A53" s="80" t="str">
        <f t="shared" si="1"/>
        <v>×</v>
      </c>
      <c r="E53" s="130" t="str">
        <f>IF('入力 (1)'!B54="","",'入力 (1)'!B54)</f>
        <v/>
      </c>
      <c r="F53" s="130"/>
      <c r="G53" s="130"/>
      <c r="H53" s="131" t="str">
        <f>IF('入力 (1)'!C54="","",'入力 (1)'!C54)</f>
        <v/>
      </c>
      <c r="I53" s="131"/>
      <c r="J53" s="131"/>
      <c r="K53" s="131">
        <f>SUM(H$12:J53)</f>
        <v>21.197999999999997</v>
      </c>
      <c r="L53" s="131"/>
      <c r="M53" s="131"/>
      <c r="N53" s="132" t="str">
        <f>IF('入力 (1)'!D54="","",'入力 (1)'!D54)</f>
        <v/>
      </c>
      <c r="O53" s="132"/>
      <c r="P53" s="132"/>
      <c r="Q53" s="132" t="str">
        <f>IF('入力 (1)'!E54="","",'入力 (1)'!E54)</f>
        <v/>
      </c>
      <c r="R53" s="132"/>
      <c r="S53" s="132"/>
      <c r="T53" s="132"/>
      <c r="U53" s="133" t="str">
        <f>IF('入力 (1)'!F54="","",ROUND('入力 (1)'!F54,2))</f>
        <v/>
      </c>
      <c r="V53" s="133"/>
      <c r="W53" s="133"/>
      <c r="X53" s="133"/>
      <c r="Y53" s="133"/>
      <c r="Z53" s="133" t="str">
        <f>IF('入力 (1)'!H54="","",ROUND('入力 (1)'!H54,2))</f>
        <v/>
      </c>
      <c r="AA53" s="133"/>
      <c r="AB53" s="133"/>
      <c r="AC53" s="133"/>
      <c r="AD53" s="133"/>
    </row>
    <row r="54" spans="1:30" ht="15.75" customHeight="1" x14ac:dyDescent="0.15">
      <c r="A54" s="80" t="str">
        <f t="shared" si="1"/>
        <v>×</v>
      </c>
      <c r="E54" s="130" t="str">
        <f>IF('入力 (1)'!B55="","",'入力 (1)'!B55)</f>
        <v/>
      </c>
      <c r="F54" s="130"/>
      <c r="G54" s="130"/>
      <c r="H54" s="131" t="str">
        <f>IF('入力 (1)'!C55="","",'入力 (1)'!C55)</f>
        <v/>
      </c>
      <c r="I54" s="131"/>
      <c r="J54" s="131"/>
      <c r="K54" s="131">
        <f>SUM(H$12:J54)</f>
        <v>21.197999999999997</v>
      </c>
      <c r="L54" s="131"/>
      <c r="M54" s="131"/>
      <c r="N54" s="132" t="str">
        <f>IF('入力 (1)'!D55="","",'入力 (1)'!D55)</f>
        <v/>
      </c>
      <c r="O54" s="132"/>
      <c r="P54" s="132"/>
      <c r="Q54" s="132" t="str">
        <f>IF('入力 (1)'!E55="","",'入力 (1)'!E55)</f>
        <v/>
      </c>
      <c r="R54" s="132"/>
      <c r="S54" s="132"/>
      <c r="T54" s="132"/>
      <c r="U54" s="133" t="str">
        <f>IF('入力 (1)'!F55="","",ROUND('入力 (1)'!F55,2))</f>
        <v/>
      </c>
      <c r="V54" s="133"/>
      <c r="W54" s="133"/>
      <c r="X54" s="133"/>
      <c r="Y54" s="133"/>
      <c r="Z54" s="133" t="str">
        <f>IF('入力 (1)'!H55="","",ROUND('入力 (1)'!H55,2))</f>
        <v/>
      </c>
      <c r="AA54" s="133"/>
      <c r="AB54" s="133"/>
      <c r="AC54" s="133"/>
      <c r="AD54" s="133"/>
    </row>
    <row r="55" spans="1:30" ht="15.75" customHeight="1" x14ac:dyDescent="0.15">
      <c r="A55" s="80" t="str">
        <f t="shared" si="1"/>
        <v>×</v>
      </c>
      <c r="E55" s="130" t="str">
        <f>IF('入力 (1)'!B56="","",'入力 (1)'!B56)</f>
        <v/>
      </c>
      <c r="F55" s="130"/>
      <c r="G55" s="130"/>
      <c r="H55" s="131" t="str">
        <f>IF('入力 (1)'!C56="","",'入力 (1)'!C56)</f>
        <v/>
      </c>
      <c r="I55" s="131"/>
      <c r="J55" s="131"/>
      <c r="K55" s="131">
        <f>SUM(H$12:J55)</f>
        <v>21.197999999999997</v>
      </c>
      <c r="L55" s="131"/>
      <c r="M55" s="131"/>
      <c r="N55" s="132" t="str">
        <f>IF('入力 (1)'!D56="","",'入力 (1)'!D56)</f>
        <v/>
      </c>
      <c r="O55" s="132"/>
      <c r="P55" s="132"/>
      <c r="Q55" s="132" t="str">
        <f>IF('入力 (1)'!E56="","",'入力 (1)'!E56)</f>
        <v/>
      </c>
      <c r="R55" s="132"/>
      <c r="S55" s="132"/>
      <c r="T55" s="132"/>
      <c r="U55" s="133" t="str">
        <f>IF('入力 (1)'!F56="","",ROUND('入力 (1)'!F56,2))</f>
        <v/>
      </c>
      <c r="V55" s="133"/>
      <c r="W55" s="133"/>
      <c r="X55" s="133"/>
      <c r="Y55" s="133"/>
      <c r="Z55" s="133" t="str">
        <f>IF('入力 (1)'!H56="","",ROUND('入力 (1)'!H56,2))</f>
        <v/>
      </c>
      <c r="AA55" s="133"/>
      <c r="AB55" s="133"/>
      <c r="AC55" s="133"/>
      <c r="AD55" s="133"/>
    </row>
    <row r="56" spans="1:30" ht="15.75" customHeight="1" x14ac:dyDescent="0.15">
      <c r="A56" s="80" t="str">
        <f t="shared" si="1"/>
        <v>×</v>
      </c>
      <c r="E56" s="130" t="str">
        <f>IF('入力 (1)'!B57="","",'入力 (1)'!B57)</f>
        <v/>
      </c>
      <c r="F56" s="130"/>
      <c r="G56" s="130"/>
      <c r="H56" s="131" t="str">
        <f>IF('入力 (1)'!C57="","",'入力 (1)'!C57)</f>
        <v/>
      </c>
      <c r="I56" s="131"/>
      <c r="J56" s="131"/>
      <c r="K56" s="131">
        <f>SUM(H$12:J56)</f>
        <v>21.197999999999997</v>
      </c>
      <c r="L56" s="131"/>
      <c r="M56" s="131"/>
      <c r="N56" s="132" t="str">
        <f>IF('入力 (1)'!D57="","",'入力 (1)'!D57)</f>
        <v/>
      </c>
      <c r="O56" s="132"/>
      <c r="P56" s="132"/>
      <c r="Q56" s="132" t="str">
        <f>IF('入力 (1)'!E57="","",'入力 (1)'!E57)</f>
        <v/>
      </c>
      <c r="R56" s="132"/>
      <c r="S56" s="132"/>
      <c r="T56" s="132"/>
      <c r="U56" s="133" t="str">
        <f>IF('入力 (1)'!F57="","",ROUND('入力 (1)'!F57,2))</f>
        <v/>
      </c>
      <c r="V56" s="133"/>
      <c r="W56" s="133"/>
      <c r="X56" s="133"/>
      <c r="Y56" s="133"/>
      <c r="Z56" s="133" t="str">
        <f>IF('入力 (1)'!H57="","",ROUND('入力 (1)'!H57,2))</f>
        <v/>
      </c>
      <c r="AA56" s="133"/>
      <c r="AB56" s="133"/>
      <c r="AC56" s="133"/>
      <c r="AD56" s="133"/>
    </row>
    <row r="57" spans="1:30" ht="15.75" customHeight="1" x14ac:dyDescent="0.15">
      <c r="A57" s="80" t="str">
        <f t="shared" si="1"/>
        <v>×</v>
      </c>
      <c r="E57" s="130" t="str">
        <f>IF('入力 (1)'!B58="","",'入力 (1)'!B58)</f>
        <v/>
      </c>
      <c r="F57" s="130"/>
      <c r="G57" s="130"/>
      <c r="H57" s="131" t="str">
        <f>IF('入力 (1)'!C58="","",'入力 (1)'!C58)</f>
        <v/>
      </c>
      <c r="I57" s="131"/>
      <c r="J57" s="131"/>
      <c r="K57" s="131">
        <f>SUM(H$12:J57)</f>
        <v>21.197999999999997</v>
      </c>
      <c r="L57" s="131"/>
      <c r="M57" s="131"/>
      <c r="N57" s="132" t="str">
        <f>IF('入力 (1)'!D58="","",'入力 (1)'!D58)</f>
        <v/>
      </c>
      <c r="O57" s="132"/>
      <c r="P57" s="132"/>
      <c r="Q57" s="132" t="str">
        <f>IF('入力 (1)'!E58="","",'入力 (1)'!E58)</f>
        <v/>
      </c>
      <c r="R57" s="132"/>
      <c r="S57" s="132"/>
      <c r="T57" s="132"/>
      <c r="U57" s="133" t="str">
        <f>IF('入力 (1)'!F58="","",ROUND('入力 (1)'!F58,2))</f>
        <v/>
      </c>
      <c r="V57" s="133"/>
      <c r="W57" s="133"/>
      <c r="X57" s="133"/>
      <c r="Y57" s="133"/>
      <c r="Z57" s="133" t="str">
        <f>IF('入力 (1)'!H58="","",ROUND('入力 (1)'!H58,2))</f>
        <v/>
      </c>
      <c r="AA57" s="133"/>
      <c r="AB57" s="133"/>
      <c r="AC57" s="133"/>
      <c r="AD57" s="133"/>
    </row>
    <row r="58" spans="1:30" ht="15.75" customHeight="1" x14ac:dyDescent="0.15">
      <c r="A58" s="80" t="str">
        <f t="shared" si="1"/>
        <v>×</v>
      </c>
      <c r="E58" s="130" t="str">
        <f>IF('入力 (1)'!B59="","",'入力 (1)'!B59)</f>
        <v/>
      </c>
      <c r="F58" s="130"/>
      <c r="G58" s="130"/>
      <c r="H58" s="131" t="str">
        <f>IF('入力 (1)'!C59="","",'入力 (1)'!C59)</f>
        <v/>
      </c>
      <c r="I58" s="131"/>
      <c r="J58" s="131"/>
      <c r="K58" s="131">
        <f>SUM(H$12:J58)</f>
        <v>21.197999999999997</v>
      </c>
      <c r="L58" s="131"/>
      <c r="M58" s="131"/>
      <c r="N58" s="132" t="str">
        <f>IF('入力 (1)'!D59="","",'入力 (1)'!D59)</f>
        <v/>
      </c>
      <c r="O58" s="132"/>
      <c r="P58" s="132"/>
      <c r="Q58" s="132" t="str">
        <f>IF('入力 (1)'!E59="","",'入力 (1)'!E59)</f>
        <v/>
      </c>
      <c r="R58" s="132"/>
      <c r="S58" s="132"/>
      <c r="T58" s="132"/>
      <c r="U58" s="133" t="str">
        <f>IF('入力 (1)'!F59="","",ROUND('入力 (1)'!F59,2))</f>
        <v/>
      </c>
      <c r="V58" s="133"/>
      <c r="W58" s="133"/>
      <c r="X58" s="133"/>
      <c r="Y58" s="133"/>
      <c r="Z58" s="133" t="str">
        <f>IF('入力 (1)'!H59="","",ROUND('入力 (1)'!H59,2))</f>
        <v/>
      </c>
      <c r="AA58" s="133"/>
      <c r="AB58" s="133"/>
      <c r="AC58" s="133"/>
      <c r="AD58" s="133"/>
    </row>
    <row r="59" spans="1:30" ht="15.75" customHeight="1" x14ac:dyDescent="0.15">
      <c r="A59" s="80" t="str">
        <f t="shared" si="1"/>
        <v>×</v>
      </c>
      <c r="E59" s="130" t="str">
        <f>IF('入力 (1)'!B60="","",'入力 (1)'!B60)</f>
        <v/>
      </c>
      <c r="F59" s="130"/>
      <c r="G59" s="130"/>
      <c r="H59" s="131" t="str">
        <f>IF('入力 (1)'!C60="","",'入力 (1)'!C60)</f>
        <v/>
      </c>
      <c r="I59" s="131"/>
      <c r="J59" s="131"/>
      <c r="K59" s="131">
        <f>SUM(H$12:J59)</f>
        <v>21.197999999999997</v>
      </c>
      <c r="L59" s="131"/>
      <c r="M59" s="131"/>
      <c r="N59" s="132" t="str">
        <f>IF('入力 (1)'!D60="","",'入力 (1)'!D60)</f>
        <v/>
      </c>
      <c r="O59" s="132"/>
      <c r="P59" s="132"/>
      <c r="Q59" s="132" t="str">
        <f>IF('入力 (1)'!E60="","",'入力 (1)'!E60)</f>
        <v/>
      </c>
      <c r="R59" s="132"/>
      <c r="S59" s="132"/>
      <c r="T59" s="132"/>
      <c r="U59" s="133" t="str">
        <f>IF('入力 (1)'!F60="","",ROUND('入力 (1)'!F60,2))</f>
        <v/>
      </c>
      <c r="V59" s="133"/>
      <c r="W59" s="133"/>
      <c r="X59" s="133"/>
      <c r="Y59" s="133"/>
      <c r="Z59" s="133" t="str">
        <f>IF('入力 (1)'!H60="","",ROUND('入力 (1)'!H60,2))</f>
        <v/>
      </c>
      <c r="AA59" s="133"/>
      <c r="AB59" s="133"/>
      <c r="AC59" s="133"/>
      <c r="AD59" s="133"/>
    </row>
    <row r="60" spans="1:30" ht="15.75" customHeight="1" x14ac:dyDescent="0.15">
      <c r="A60" s="80" t="str">
        <f t="shared" si="1"/>
        <v>×</v>
      </c>
      <c r="E60" s="130" t="str">
        <f>IF('入力 (1)'!B61="","",'入力 (1)'!B61)</f>
        <v/>
      </c>
      <c r="F60" s="130"/>
      <c r="G60" s="130"/>
      <c r="H60" s="131" t="str">
        <f>IF('入力 (1)'!C61="","",'入力 (1)'!C61)</f>
        <v/>
      </c>
      <c r="I60" s="131"/>
      <c r="J60" s="131"/>
      <c r="K60" s="131">
        <f>SUM(H$12:J60)</f>
        <v>21.197999999999997</v>
      </c>
      <c r="L60" s="131"/>
      <c r="M60" s="131"/>
      <c r="N60" s="132" t="str">
        <f>IF('入力 (1)'!D61="","",'入力 (1)'!D61)</f>
        <v/>
      </c>
      <c r="O60" s="132"/>
      <c r="P60" s="132"/>
      <c r="Q60" s="132" t="str">
        <f>IF('入力 (1)'!E61="","",'入力 (1)'!E61)</f>
        <v/>
      </c>
      <c r="R60" s="132"/>
      <c r="S60" s="132"/>
      <c r="T60" s="132"/>
      <c r="U60" s="133" t="str">
        <f>IF('入力 (1)'!F61="","",ROUND('入力 (1)'!F61,2))</f>
        <v/>
      </c>
      <c r="V60" s="133"/>
      <c r="W60" s="133"/>
      <c r="X60" s="133"/>
      <c r="Y60" s="133"/>
      <c r="Z60" s="133" t="str">
        <f>IF('入力 (1)'!H61="","",ROUND('入力 (1)'!H61,2))</f>
        <v/>
      </c>
      <c r="AA60" s="133"/>
      <c r="AB60" s="133"/>
      <c r="AC60" s="133"/>
      <c r="AD60" s="133"/>
    </row>
    <row r="61" spans="1:30" ht="15.75" customHeight="1" x14ac:dyDescent="0.15">
      <c r="A61" s="80" t="str">
        <f t="shared" si="1"/>
        <v>×</v>
      </c>
      <c r="E61" s="130" t="str">
        <f>IF('入力 (1)'!B62="","",'入力 (1)'!B62)</f>
        <v/>
      </c>
      <c r="F61" s="130"/>
      <c r="G61" s="130"/>
      <c r="H61" s="131" t="str">
        <f>IF('入力 (1)'!C62="","",'入力 (1)'!C62)</f>
        <v/>
      </c>
      <c r="I61" s="131"/>
      <c r="J61" s="131"/>
      <c r="K61" s="131">
        <f>SUM(H$12:J61)</f>
        <v>21.197999999999997</v>
      </c>
      <c r="L61" s="131"/>
      <c r="M61" s="131"/>
      <c r="N61" s="132" t="str">
        <f>IF('入力 (1)'!D62="","",'入力 (1)'!D62)</f>
        <v/>
      </c>
      <c r="O61" s="132"/>
      <c r="P61" s="132"/>
      <c r="Q61" s="132" t="str">
        <f>IF('入力 (1)'!E62="","",'入力 (1)'!E62)</f>
        <v/>
      </c>
      <c r="R61" s="132"/>
      <c r="S61" s="132"/>
      <c r="T61" s="132"/>
      <c r="U61" s="133" t="str">
        <f>IF('入力 (1)'!F62="","",ROUND('入力 (1)'!F62,2))</f>
        <v/>
      </c>
      <c r="V61" s="133"/>
      <c r="W61" s="133"/>
      <c r="X61" s="133"/>
      <c r="Y61" s="133"/>
      <c r="Z61" s="133" t="str">
        <f>IF('入力 (1)'!H62="","",ROUND('入力 (1)'!H62,2))</f>
        <v/>
      </c>
      <c r="AA61" s="133"/>
      <c r="AB61" s="133"/>
      <c r="AC61" s="133"/>
      <c r="AD61" s="133"/>
    </row>
    <row r="62" spans="1:30" ht="15.75" customHeight="1" x14ac:dyDescent="0.15">
      <c r="A62" s="80" t="str">
        <f t="shared" si="1"/>
        <v>×</v>
      </c>
      <c r="E62" s="130" t="str">
        <f>IF('入力 (1)'!B63="","",'入力 (1)'!B63)</f>
        <v/>
      </c>
      <c r="F62" s="130"/>
      <c r="G62" s="130"/>
      <c r="H62" s="131" t="str">
        <f>IF('入力 (1)'!C63="","",'入力 (1)'!C63)</f>
        <v/>
      </c>
      <c r="I62" s="131"/>
      <c r="J62" s="131"/>
      <c r="K62" s="131">
        <f>SUM(H$12:J62)</f>
        <v>21.197999999999997</v>
      </c>
      <c r="L62" s="131"/>
      <c r="M62" s="131"/>
      <c r="N62" s="132" t="str">
        <f>IF('入力 (1)'!D63="","",'入力 (1)'!D63)</f>
        <v/>
      </c>
      <c r="O62" s="132"/>
      <c r="P62" s="132"/>
      <c r="Q62" s="132" t="str">
        <f>IF('入力 (1)'!E63="","",'入力 (1)'!E63)</f>
        <v/>
      </c>
      <c r="R62" s="132"/>
      <c r="S62" s="132"/>
      <c r="T62" s="132"/>
      <c r="U62" s="133" t="str">
        <f>IF('入力 (1)'!F63="","",ROUND('入力 (1)'!F63,2))</f>
        <v/>
      </c>
      <c r="V62" s="133"/>
      <c r="W62" s="133"/>
      <c r="X62" s="133"/>
      <c r="Y62" s="133"/>
      <c r="Z62" s="133" t="str">
        <f>IF('入力 (1)'!H63="","",ROUND('入力 (1)'!H63,2))</f>
        <v/>
      </c>
      <c r="AA62" s="133"/>
      <c r="AB62" s="133"/>
      <c r="AC62" s="133"/>
      <c r="AD62" s="133"/>
    </row>
    <row r="63" spans="1:30" ht="15.75" customHeight="1" x14ac:dyDescent="0.15">
      <c r="A63" s="80" t="str">
        <f t="shared" si="1"/>
        <v>×</v>
      </c>
      <c r="E63" s="130" t="str">
        <f>IF('入力 (1)'!B64="","",'入力 (1)'!B64)</f>
        <v/>
      </c>
      <c r="F63" s="130"/>
      <c r="G63" s="130"/>
      <c r="H63" s="131" t="str">
        <f>IF('入力 (1)'!C64="","",'入力 (1)'!C64)</f>
        <v/>
      </c>
      <c r="I63" s="131"/>
      <c r="J63" s="131"/>
      <c r="K63" s="131">
        <f>SUM(H$12:J63)</f>
        <v>21.197999999999997</v>
      </c>
      <c r="L63" s="131"/>
      <c r="M63" s="131"/>
      <c r="N63" s="132" t="str">
        <f>IF('入力 (1)'!D64="","",'入力 (1)'!D64)</f>
        <v/>
      </c>
      <c r="O63" s="132"/>
      <c r="P63" s="132"/>
      <c r="Q63" s="132" t="str">
        <f>IF('入力 (1)'!E64="","",'入力 (1)'!E64)</f>
        <v/>
      </c>
      <c r="R63" s="132"/>
      <c r="S63" s="132"/>
      <c r="T63" s="132"/>
      <c r="U63" s="133" t="str">
        <f>IF('入力 (1)'!F64="","",ROUND('入力 (1)'!F64,2))</f>
        <v/>
      </c>
      <c r="V63" s="133"/>
      <c r="W63" s="133"/>
      <c r="X63" s="133"/>
      <c r="Y63" s="133"/>
      <c r="Z63" s="133" t="str">
        <f>IF('入力 (1)'!H64="","",ROUND('入力 (1)'!H64,2))</f>
        <v/>
      </c>
      <c r="AA63" s="133"/>
      <c r="AB63" s="133"/>
      <c r="AC63" s="133"/>
      <c r="AD63" s="133"/>
    </row>
    <row r="64" spans="1:30" ht="15.75" customHeight="1" x14ac:dyDescent="0.15">
      <c r="A64" s="80" t="str">
        <f t="shared" si="1"/>
        <v>×</v>
      </c>
      <c r="E64" s="130" t="str">
        <f>IF('入力 (1)'!B65="","",'入力 (1)'!B65)</f>
        <v/>
      </c>
      <c r="F64" s="130"/>
      <c r="G64" s="130"/>
      <c r="H64" s="131" t="str">
        <f>IF('入力 (1)'!C65="","",'入力 (1)'!C65)</f>
        <v/>
      </c>
      <c r="I64" s="131"/>
      <c r="J64" s="131"/>
      <c r="K64" s="131">
        <f>SUM(H$12:J64)</f>
        <v>21.197999999999997</v>
      </c>
      <c r="L64" s="131"/>
      <c r="M64" s="131"/>
      <c r="N64" s="132" t="str">
        <f>IF('入力 (1)'!D65="","",'入力 (1)'!D65)</f>
        <v/>
      </c>
      <c r="O64" s="132"/>
      <c r="P64" s="132"/>
      <c r="Q64" s="132" t="str">
        <f>IF('入力 (1)'!E65="","",'入力 (1)'!E65)</f>
        <v/>
      </c>
      <c r="R64" s="132"/>
      <c r="S64" s="132"/>
      <c r="T64" s="132"/>
      <c r="U64" s="133" t="str">
        <f>IF('入力 (1)'!F65="","",ROUND('入力 (1)'!F65,2))</f>
        <v/>
      </c>
      <c r="V64" s="133"/>
      <c r="W64" s="133"/>
      <c r="X64" s="133"/>
      <c r="Y64" s="133"/>
      <c r="Z64" s="133" t="str">
        <f>IF('入力 (1)'!H65="","",ROUND('入力 (1)'!H65,2))</f>
        <v/>
      </c>
      <c r="AA64" s="133"/>
      <c r="AB64" s="133"/>
      <c r="AC64" s="133"/>
      <c r="AD64" s="133"/>
    </row>
    <row r="65" spans="1:30" ht="15.75" customHeight="1" x14ac:dyDescent="0.15">
      <c r="A65" s="80" t="str">
        <f t="shared" si="1"/>
        <v>×</v>
      </c>
      <c r="E65" s="130" t="str">
        <f>IF('入力 (1)'!B66="","",'入力 (1)'!B66)</f>
        <v/>
      </c>
      <c r="F65" s="130"/>
      <c r="G65" s="130"/>
      <c r="H65" s="131" t="str">
        <f>IF('入力 (1)'!C66="","",'入力 (1)'!C66)</f>
        <v/>
      </c>
      <c r="I65" s="131"/>
      <c r="J65" s="131"/>
      <c r="K65" s="131">
        <f>SUM(H$12:J65)</f>
        <v>21.197999999999997</v>
      </c>
      <c r="L65" s="131"/>
      <c r="M65" s="131"/>
      <c r="N65" s="132" t="str">
        <f>IF('入力 (1)'!D66="","",'入力 (1)'!D66)</f>
        <v/>
      </c>
      <c r="O65" s="132"/>
      <c r="P65" s="132"/>
      <c r="Q65" s="132" t="str">
        <f>IF('入力 (1)'!E66="","",'入力 (1)'!E66)</f>
        <v/>
      </c>
      <c r="R65" s="132"/>
      <c r="S65" s="132"/>
      <c r="T65" s="132"/>
      <c r="U65" s="133" t="str">
        <f>IF('入力 (1)'!F66="","",ROUND('入力 (1)'!F66,2))</f>
        <v/>
      </c>
      <c r="V65" s="133"/>
      <c r="W65" s="133"/>
      <c r="X65" s="133"/>
      <c r="Y65" s="133"/>
      <c r="Z65" s="133" t="str">
        <f>IF('入力 (1)'!H66="","",ROUND('入力 (1)'!H66,2))</f>
        <v/>
      </c>
      <c r="AA65" s="133"/>
      <c r="AB65" s="133"/>
      <c r="AC65" s="133"/>
      <c r="AD65" s="133"/>
    </row>
    <row r="66" spans="1:30" ht="15.75" customHeight="1" x14ac:dyDescent="0.15">
      <c r="A66" s="80" t="str">
        <f t="shared" si="1"/>
        <v>×</v>
      </c>
      <c r="E66" s="130" t="str">
        <f>IF('入力 (1)'!B67="","",'入力 (1)'!B67)</f>
        <v/>
      </c>
      <c r="F66" s="130"/>
      <c r="G66" s="130"/>
      <c r="H66" s="131" t="str">
        <f>IF('入力 (1)'!C67="","",'入力 (1)'!C67)</f>
        <v/>
      </c>
      <c r="I66" s="131"/>
      <c r="J66" s="131"/>
      <c r="K66" s="131">
        <f>SUM(H$12:J66)</f>
        <v>21.197999999999997</v>
      </c>
      <c r="L66" s="131"/>
      <c r="M66" s="131"/>
      <c r="N66" s="132" t="str">
        <f>IF('入力 (1)'!D67="","",'入力 (1)'!D67)</f>
        <v/>
      </c>
      <c r="O66" s="132"/>
      <c r="P66" s="132"/>
      <c r="Q66" s="132" t="str">
        <f>IF('入力 (1)'!E67="","",'入力 (1)'!E67)</f>
        <v/>
      </c>
      <c r="R66" s="132"/>
      <c r="S66" s="132"/>
      <c r="T66" s="132"/>
      <c r="U66" s="133" t="str">
        <f>IF('入力 (1)'!F67="","",ROUND('入力 (1)'!F67,2))</f>
        <v/>
      </c>
      <c r="V66" s="133"/>
      <c r="W66" s="133"/>
      <c r="X66" s="133"/>
      <c r="Y66" s="133"/>
      <c r="Z66" s="133" t="str">
        <f>IF('入力 (1)'!H67="","",ROUND('入力 (1)'!H67,2))</f>
        <v/>
      </c>
      <c r="AA66" s="133"/>
      <c r="AB66" s="133"/>
      <c r="AC66" s="133"/>
      <c r="AD66" s="133"/>
    </row>
    <row r="67" spans="1:30" ht="15.75" customHeight="1" x14ac:dyDescent="0.15">
      <c r="A67" s="80" t="str">
        <f t="shared" si="1"/>
        <v>×</v>
      </c>
      <c r="E67" s="130" t="str">
        <f>IF('入力 (1)'!B68="","",'入力 (1)'!B68)</f>
        <v/>
      </c>
      <c r="F67" s="130"/>
      <c r="G67" s="130"/>
      <c r="H67" s="131" t="str">
        <f>IF('入力 (1)'!C68="","",'入力 (1)'!C68)</f>
        <v/>
      </c>
      <c r="I67" s="131"/>
      <c r="J67" s="131"/>
      <c r="K67" s="131">
        <f>SUM(H$12:J67)</f>
        <v>21.197999999999997</v>
      </c>
      <c r="L67" s="131"/>
      <c r="M67" s="131"/>
      <c r="N67" s="132" t="str">
        <f>IF('入力 (1)'!D68="","",'入力 (1)'!D68)</f>
        <v/>
      </c>
      <c r="O67" s="132"/>
      <c r="P67" s="132"/>
      <c r="Q67" s="132" t="str">
        <f>IF('入力 (1)'!E68="","",'入力 (1)'!E68)</f>
        <v/>
      </c>
      <c r="R67" s="132"/>
      <c r="S67" s="132"/>
      <c r="T67" s="132"/>
      <c r="U67" s="133" t="str">
        <f>IF('入力 (1)'!F68="","",ROUND('入力 (1)'!F68,2))</f>
        <v/>
      </c>
      <c r="V67" s="133"/>
      <c r="W67" s="133"/>
      <c r="X67" s="133"/>
      <c r="Y67" s="133"/>
      <c r="Z67" s="133" t="str">
        <f>IF('入力 (1)'!H68="","",ROUND('入力 (1)'!H68,2))</f>
        <v/>
      </c>
      <c r="AA67" s="133"/>
      <c r="AB67" s="133"/>
      <c r="AC67" s="133"/>
      <c r="AD67" s="133"/>
    </row>
    <row r="68" spans="1:30" ht="15.75" customHeight="1" x14ac:dyDescent="0.15">
      <c r="A68" s="80" t="str">
        <f t="shared" si="1"/>
        <v>×</v>
      </c>
      <c r="E68" s="130" t="str">
        <f>IF('入力 (1)'!B69="","",'入力 (1)'!B69)</f>
        <v/>
      </c>
      <c r="F68" s="130"/>
      <c r="G68" s="130"/>
      <c r="H68" s="131" t="str">
        <f>IF('入力 (1)'!C69="","",'入力 (1)'!C69)</f>
        <v/>
      </c>
      <c r="I68" s="131"/>
      <c r="J68" s="131"/>
      <c r="K68" s="131">
        <f>SUM(H$12:J68)</f>
        <v>21.197999999999997</v>
      </c>
      <c r="L68" s="131"/>
      <c r="M68" s="131"/>
      <c r="N68" s="132" t="str">
        <f>IF('入力 (1)'!D69="","",'入力 (1)'!D69)</f>
        <v/>
      </c>
      <c r="O68" s="132"/>
      <c r="P68" s="132"/>
      <c r="Q68" s="132" t="str">
        <f>IF('入力 (1)'!E69="","",'入力 (1)'!E69)</f>
        <v/>
      </c>
      <c r="R68" s="132"/>
      <c r="S68" s="132"/>
      <c r="T68" s="132"/>
      <c r="U68" s="133" t="str">
        <f>IF('入力 (1)'!F69="","",ROUND('入力 (1)'!F69,2))</f>
        <v/>
      </c>
      <c r="V68" s="133"/>
      <c r="W68" s="133"/>
      <c r="X68" s="133"/>
      <c r="Y68" s="133"/>
      <c r="Z68" s="133" t="str">
        <f>IF('入力 (1)'!H69="","",ROUND('入力 (1)'!H69,2))</f>
        <v/>
      </c>
      <c r="AA68" s="133"/>
      <c r="AB68" s="133"/>
      <c r="AC68" s="133"/>
      <c r="AD68" s="133"/>
    </row>
    <row r="69" spans="1:30" ht="15.75" customHeight="1" x14ac:dyDescent="0.15">
      <c r="A69" s="80" t="str">
        <f t="shared" si="1"/>
        <v>×</v>
      </c>
      <c r="E69" s="130" t="str">
        <f>IF('入力 (1)'!B70="","",'入力 (1)'!B70)</f>
        <v/>
      </c>
      <c r="F69" s="130"/>
      <c r="G69" s="130"/>
      <c r="H69" s="131" t="str">
        <f>IF('入力 (1)'!C70="","",'入力 (1)'!C70)</f>
        <v/>
      </c>
      <c r="I69" s="131"/>
      <c r="J69" s="131"/>
      <c r="K69" s="131">
        <f>SUM(H$12:J69)</f>
        <v>21.197999999999997</v>
      </c>
      <c r="L69" s="131"/>
      <c r="M69" s="131"/>
      <c r="N69" s="132" t="str">
        <f>IF('入力 (1)'!D70="","",'入力 (1)'!D70)</f>
        <v/>
      </c>
      <c r="O69" s="132"/>
      <c r="P69" s="132"/>
      <c r="Q69" s="132" t="str">
        <f>IF('入力 (1)'!E70="","",'入力 (1)'!E70)</f>
        <v/>
      </c>
      <c r="R69" s="132"/>
      <c r="S69" s="132"/>
      <c r="T69" s="132"/>
      <c r="U69" s="133" t="str">
        <f>IF('入力 (1)'!F70="","",ROUND('入力 (1)'!F70,2))</f>
        <v/>
      </c>
      <c r="V69" s="133"/>
      <c r="W69" s="133"/>
      <c r="X69" s="133"/>
      <c r="Y69" s="133"/>
      <c r="Z69" s="133" t="str">
        <f>IF('入力 (1)'!H70="","",ROUND('入力 (1)'!H70,2))</f>
        <v/>
      </c>
      <c r="AA69" s="133"/>
      <c r="AB69" s="133"/>
      <c r="AC69" s="133"/>
      <c r="AD69" s="133"/>
    </row>
    <row r="70" spans="1:30" ht="15.75" customHeight="1" x14ac:dyDescent="0.15">
      <c r="A70" s="80" t="str">
        <f t="shared" si="1"/>
        <v>×</v>
      </c>
      <c r="E70" s="130" t="str">
        <f>IF('入力 (1)'!B71="","",'入力 (1)'!B71)</f>
        <v/>
      </c>
      <c r="F70" s="130"/>
      <c r="G70" s="130"/>
      <c r="H70" s="131" t="str">
        <f>IF('入力 (1)'!C71="","",'入力 (1)'!C71)</f>
        <v/>
      </c>
      <c r="I70" s="131"/>
      <c r="J70" s="131"/>
      <c r="K70" s="131">
        <f>SUM(H$12:J70)</f>
        <v>21.197999999999997</v>
      </c>
      <c r="L70" s="131"/>
      <c r="M70" s="131"/>
      <c r="N70" s="132" t="str">
        <f>IF('入力 (1)'!D71="","",'入力 (1)'!D71)</f>
        <v/>
      </c>
      <c r="O70" s="132"/>
      <c r="P70" s="132"/>
      <c r="Q70" s="132" t="str">
        <f>IF('入力 (1)'!E71="","",'入力 (1)'!E71)</f>
        <v/>
      </c>
      <c r="R70" s="132"/>
      <c r="S70" s="132"/>
      <c r="T70" s="132"/>
      <c r="U70" s="133" t="str">
        <f>IF('入力 (1)'!F71="","",ROUND('入力 (1)'!F71,2))</f>
        <v/>
      </c>
      <c r="V70" s="133"/>
      <c r="W70" s="133"/>
      <c r="X70" s="133"/>
      <c r="Y70" s="133"/>
      <c r="Z70" s="133" t="str">
        <f>IF('入力 (1)'!H71="","",ROUND('入力 (1)'!H71,2))</f>
        <v/>
      </c>
      <c r="AA70" s="133"/>
      <c r="AB70" s="133"/>
      <c r="AC70" s="133"/>
      <c r="AD70" s="133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92</v>
      </c>
    </row>
    <row r="75" spans="1:30" ht="15.75" customHeight="1" x14ac:dyDescent="0.15">
      <c r="E75" s="69" t="s">
        <v>93</v>
      </c>
    </row>
    <row r="76" spans="1:30" ht="15.75" customHeight="1" x14ac:dyDescent="0.15">
      <c r="E76" s="69" t="s">
        <v>94</v>
      </c>
    </row>
    <row r="78" spans="1:30" ht="15.75" customHeight="1" x14ac:dyDescent="0.15">
      <c r="F78" s="134" t="s">
        <v>61</v>
      </c>
      <c r="G78" s="134"/>
      <c r="H78" s="134"/>
      <c r="I78" s="134"/>
      <c r="J78" s="134"/>
      <c r="K78" s="134"/>
      <c r="L78" s="134"/>
      <c r="M78" s="134"/>
      <c r="N78" s="134" t="s">
        <v>62</v>
      </c>
      <c r="O78" s="134"/>
      <c r="P78" s="135">
        <f>ROUND('入力 (1)'!地盤の固有周期,4)</f>
        <v>0.27529999999999999</v>
      </c>
      <c r="Q78" s="135"/>
      <c r="R78" s="135"/>
      <c r="S78" s="135"/>
      <c r="T78" s="86" t="s">
        <v>63</v>
      </c>
    </row>
    <row r="81" spans="4:35" ht="15.75" customHeight="1" x14ac:dyDescent="0.15">
      <c r="D81" s="86" t="s">
        <v>95</v>
      </c>
    </row>
    <row r="83" spans="4:35" ht="15.75" customHeight="1" x14ac:dyDescent="0.15">
      <c r="E83" s="69" t="s">
        <v>64</v>
      </c>
    </row>
    <row r="85" spans="4:35" ht="15.75" customHeight="1" x14ac:dyDescent="0.15">
      <c r="F85" s="86" t="s">
        <v>65</v>
      </c>
    </row>
    <row r="86" spans="4:35" ht="15.75" customHeight="1" x14ac:dyDescent="0.15">
      <c r="H86" s="90" t="s">
        <v>66</v>
      </c>
      <c r="J86" s="136" t="s">
        <v>67</v>
      </c>
      <c r="K86" s="136"/>
      <c r="L86" s="90" t="s">
        <v>68</v>
      </c>
      <c r="M86" s="137">
        <v>0.75</v>
      </c>
      <c r="N86" s="137"/>
      <c r="O86" s="90"/>
      <c r="Q86" s="89"/>
      <c r="R86" s="89"/>
      <c r="S86" s="136" t="s">
        <v>69</v>
      </c>
      <c r="T86" s="136"/>
      <c r="U86" s="90" t="s">
        <v>70</v>
      </c>
      <c r="V86" s="137">
        <v>1</v>
      </c>
      <c r="W86" s="137"/>
      <c r="Y86" s="90"/>
      <c r="AB86" s="89"/>
      <c r="AC86" s="89"/>
      <c r="AD86" s="89"/>
    </row>
    <row r="87" spans="4:35" ht="15.75" customHeight="1" x14ac:dyDescent="0.15">
      <c r="H87" s="90" t="s">
        <v>71</v>
      </c>
      <c r="J87" s="137">
        <v>0.75</v>
      </c>
      <c r="K87" s="137"/>
      <c r="L87" s="90" t="s">
        <v>72</v>
      </c>
      <c r="M87" s="136" t="s">
        <v>67</v>
      </c>
      <c r="N87" s="136"/>
      <c r="O87" s="90" t="s">
        <v>68</v>
      </c>
      <c r="P87" s="137">
        <v>1.1000000000000001</v>
      </c>
      <c r="Q87" s="137"/>
      <c r="S87" s="136" t="s">
        <v>69</v>
      </c>
      <c r="T87" s="136"/>
      <c r="U87" s="90" t="s">
        <v>70</v>
      </c>
      <c r="V87" s="140">
        <v>-2</v>
      </c>
      <c r="W87" s="140"/>
      <c r="X87" s="138" t="s">
        <v>88</v>
      </c>
      <c r="Y87" s="138"/>
      <c r="Z87" s="139">
        <v>2.5</v>
      </c>
      <c r="AA87" s="139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73</v>
      </c>
      <c r="J88" s="137">
        <v>1.1000000000000001</v>
      </c>
      <c r="K88" s="137"/>
      <c r="L88" s="90" t="s">
        <v>68</v>
      </c>
      <c r="M88" s="136" t="s">
        <v>67</v>
      </c>
      <c r="N88" s="136"/>
      <c r="P88" s="90"/>
      <c r="Q88" s="90"/>
      <c r="S88" s="136" t="s">
        <v>69</v>
      </c>
      <c r="T88" s="136"/>
      <c r="U88" s="90" t="s">
        <v>70</v>
      </c>
      <c r="V88" s="139">
        <v>0.3</v>
      </c>
      <c r="W88" s="139"/>
      <c r="Y88" s="90"/>
      <c r="AB88" s="88"/>
      <c r="AC88" s="88"/>
      <c r="AD88" s="88"/>
    </row>
    <row r="89" spans="4:35" ht="15.75" customHeight="1" x14ac:dyDescent="0.15">
      <c r="F89" s="86" t="s">
        <v>74</v>
      </c>
    </row>
    <row r="90" spans="4:35" ht="15.75" customHeight="1" x14ac:dyDescent="0.2">
      <c r="H90" s="90" t="s">
        <v>66</v>
      </c>
      <c r="J90" s="136" t="s">
        <v>67</v>
      </c>
      <c r="K90" s="136"/>
      <c r="L90" s="90" t="s">
        <v>68</v>
      </c>
      <c r="M90" s="137">
        <v>0.75</v>
      </c>
      <c r="N90" s="137"/>
      <c r="O90" s="90"/>
      <c r="Q90" s="89"/>
      <c r="R90" s="89"/>
      <c r="S90" s="136" t="s">
        <v>85</v>
      </c>
      <c r="T90" s="136"/>
      <c r="U90" s="90" t="s">
        <v>70</v>
      </c>
      <c r="V90" s="137">
        <v>0</v>
      </c>
      <c r="W90" s="137"/>
      <c r="Y90" s="90"/>
    </row>
    <row r="91" spans="4:35" ht="15.75" customHeight="1" x14ac:dyDescent="0.2">
      <c r="H91" s="90" t="s">
        <v>71</v>
      </c>
      <c r="J91" s="137">
        <v>0.75</v>
      </c>
      <c r="K91" s="137"/>
      <c r="L91" s="90" t="s">
        <v>72</v>
      </c>
      <c r="M91" s="136" t="s">
        <v>67</v>
      </c>
      <c r="N91" s="136"/>
      <c r="O91" s="90" t="s">
        <v>68</v>
      </c>
      <c r="P91" s="137">
        <v>1.1000000000000001</v>
      </c>
      <c r="Q91" s="137"/>
      <c r="S91" s="136" t="s">
        <v>85</v>
      </c>
      <c r="T91" s="136"/>
      <c r="U91" s="90" t="s">
        <v>70</v>
      </c>
      <c r="V91" s="140">
        <v>-2</v>
      </c>
      <c r="W91" s="140"/>
      <c r="X91" s="138" t="s">
        <v>88</v>
      </c>
      <c r="Y91" s="138"/>
      <c r="Z91" s="139">
        <v>1.5</v>
      </c>
      <c r="AA91" s="139"/>
    </row>
    <row r="92" spans="4:35" ht="15.75" customHeight="1" x14ac:dyDescent="0.2">
      <c r="H92" s="90" t="s">
        <v>73</v>
      </c>
      <c r="J92" s="137">
        <v>1.1000000000000001</v>
      </c>
      <c r="K92" s="137"/>
      <c r="L92" s="90" t="s">
        <v>68</v>
      </c>
      <c r="M92" s="136" t="s">
        <v>67</v>
      </c>
      <c r="N92" s="136"/>
      <c r="P92" s="90"/>
      <c r="Q92" s="90"/>
      <c r="S92" s="136" t="s">
        <v>85</v>
      </c>
      <c r="T92" s="136"/>
      <c r="U92" s="90" t="s">
        <v>70</v>
      </c>
      <c r="V92" s="145">
        <v>-0.7</v>
      </c>
      <c r="W92" s="139"/>
      <c r="Y92" s="90"/>
    </row>
    <row r="94" spans="4:35" ht="15.75" customHeight="1" x14ac:dyDescent="0.15">
      <c r="H94" s="87" t="s">
        <v>75</v>
      </c>
      <c r="I94" s="141" t="s">
        <v>67</v>
      </c>
      <c r="J94" s="141"/>
      <c r="K94" s="90" t="s">
        <v>76</v>
      </c>
      <c r="L94" s="86" t="s">
        <v>77</v>
      </c>
      <c r="M94" s="87"/>
      <c r="N94" s="87"/>
      <c r="P94" s="90"/>
    </row>
    <row r="96" spans="4:35" ht="15.75" customHeight="1" x14ac:dyDescent="0.15">
      <c r="I96" s="142" t="s">
        <v>67</v>
      </c>
      <c r="J96" s="142"/>
      <c r="K96" s="142" t="s">
        <v>70</v>
      </c>
      <c r="L96" s="143" t="s">
        <v>78</v>
      </c>
      <c r="M96" s="143"/>
      <c r="N96" s="143"/>
      <c r="O96" s="143"/>
      <c r="P96" s="143"/>
    </row>
    <row r="97" spans="1:24" ht="15.75" customHeight="1" x14ac:dyDescent="0.15">
      <c r="I97" s="142"/>
      <c r="J97" s="142"/>
      <c r="K97" s="142"/>
      <c r="L97" s="144" t="s">
        <v>79</v>
      </c>
      <c r="M97" s="144"/>
      <c r="N97" s="144"/>
      <c r="O97" s="144"/>
      <c r="P97" s="144"/>
    </row>
    <row r="99" spans="1:24" ht="15.75" customHeight="1" x14ac:dyDescent="0.15">
      <c r="I99" s="141" t="s">
        <v>78</v>
      </c>
      <c r="J99" s="141"/>
      <c r="K99" s="90" t="s">
        <v>76</v>
      </c>
      <c r="L99" s="86" t="s">
        <v>99</v>
      </c>
      <c r="M99" s="87"/>
      <c r="N99" s="90"/>
      <c r="O99" s="90"/>
    </row>
    <row r="100" spans="1:24" ht="15.75" customHeight="1" x14ac:dyDescent="0.15">
      <c r="I100" s="141" t="s">
        <v>80</v>
      </c>
      <c r="J100" s="141"/>
      <c r="K100" s="90" t="s">
        <v>76</v>
      </c>
      <c r="L100" s="86" t="s">
        <v>100</v>
      </c>
    </row>
    <row r="101" spans="1:24" ht="15.75" customHeight="1" x14ac:dyDescent="0.15">
      <c r="I101" s="141" t="s">
        <v>81</v>
      </c>
      <c r="J101" s="141"/>
      <c r="K101" s="90" t="s">
        <v>76</v>
      </c>
      <c r="L101" s="86" t="s">
        <v>101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96</v>
      </c>
    </row>
    <row r="106" spans="1:24" ht="15.75" customHeight="1" x14ac:dyDescent="0.15">
      <c r="F106" s="134" t="s">
        <v>105</v>
      </c>
      <c r="G106" s="134"/>
      <c r="H106" s="134"/>
      <c r="I106" s="134"/>
      <c r="J106" s="134"/>
      <c r="K106" s="134"/>
      <c r="L106" s="134"/>
      <c r="M106" s="134"/>
      <c r="O106" s="87" t="s">
        <v>106</v>
      </c>
      <c r="P106" s="154">
        <v>0.56000000000000005</v>
      </c>
      <c r="Q106" s="154"/>
      <c r="R106" s="154"/>
      <c r="S106" s="154"/>
      <c r="T106" s="86" t="s">
        <v>63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55" t="s">
        <v>89</v>
      </c>
      <c r="H108" s="155"/>
      <c r="I108" s="155"/>
      <c r="J108" s="155"/>
      <c r="K108" s="155"/>
      <c r="L108" s="158" t="s">
        <v>97</v>
      </c>
      <c r="M108" s="159"/>
      <c r="N108" s="159"/>
      <c r="O108" s="159"/>
      <c r="P108" s="159"/>
      <c r="Q108" s="159" t="s">
        <v>98</v>
      </c>
      <c r="R108" s="159"/>
      <c r="S108" s="159"/>
      <c r="T108" s="146">
        <v>0.7</v>
      </c>
      <c r="U108" s="147"/>
      <c r="V108" s="147"/>
      <c r="W108" s="147"/>
      <c r="X108" s="147"/>
    </row>
    <row r="109" spans="1:24" ht="19.5" customHeight="1" x14ac:dyDescent="0.15">
      <c r="A109" s="80" t="str">
        <f>IF(L1地震動の有無="","","×")</f>
        <v>×</v>
      </c>
      <c r="G109" s="156"/>
      <c r="H109" s="156"/>
      <c r="I109" s="156"/>
      <c r="J109" s="156"/>
      <c r="K109" s="156"/>
      <c r="L109" s="148" t="s">
        <v>67</v>
      </c>
      <c r="M109" s="149"/>
      <c r="N109" s="149"/>
      <c r="O109" s="149"/>
      <c r="P109" s="149"/>
      <c r="Q109" s="149"/>
      <c r="R109" s="149"/>
      <c r="S109" s="149"/>
      <c r="T109" s="150">
        <f>ROUND(P106*$T$108/$P$78,3)</f>
        <v>1.4239999999999999</v>
      </c>
      <c r="U109" s="151"/>
      <c r="V109" s="151"/>
      <c r="W109" s="151"/>
      <c r="X109" s="151"/>
    </row>
    <row r="110" spans="1:24" ht="19.5" customHeight="1" x14ac:dyDescent="0.15">
      <c r="A110" s="80" t="str">
        <f>IF(L1地震動の有無="","","×")</f>
        <v>×</v>
      </c>
      <c r="G110" s="156"/>
      <c r="H110" s="156"/>
      <c r="I110" s="156"/>
      <c r="J110" s="156"/>
      <c r="K110" s="156"/>
      <c r="L110" s="148" t="s">
        <v>82</v>
      </c>
      <c r="M110" s="149"/>
      <c r="N110" s="149"/>
      <c r="O110" s="149"/>
      <c r="P110" s="149"/>
      <c r="Q110" s="149" t="s">
        <v>107</v>
      </c>
      <c r="R110" s="149"/>
      <c r="S110" s="149"/>
      <c r="T110" s="152">
        <f>IF(T109&lt;=$M$86,$V$86,IF(T109&gt;=$J$88,$V$88,$V$87*T109+$Z$87))</f>
        <v>0.3</v>
      </c>
      <c r="U110" s="153"/>
      <c r="V110" s="153"/>
      <c r="W110" s="153"/>
      <c r="X110" s="153"/>
    </row>
    <row r="111" spans="1:24" ht="19.5" customHeight="1" x14ac:dyDescent="0.15">
      <c r="A111" s="80" t="str">
        <f>IF(L1地震動の有無="","","×")</f>
        <v>×</v>
      </c>
      <c r="G111" s="157"/>
      <c r="H111" s="157"/>
      <c r="I111" s="157"/>
      <c r="J111" s="157"/>
      <c r="K111" s="157"/>
      <c r="L111" s="160" t="s">
        <v>84</v>
      </c>
      <c r="M111" s="161"/>
      <c r="N111" s="161"/>
      <c r="O111" s="161"/>
      <c r="P111" s="161"/>
      <c r="Q111" s="161" t="s">
        <v>108</v>
      </c>
      <c r="R111" s="161"/>
      <c r="S111" s="161"/>
      <c r="T111" s="162">
        <f>IF(T109&lt;=$M$90,$V$90,IF(T109&gt;=$J$92,$V$92,$V$91*T109+$Z$91))</f>
        <v>-0.7</v>
      </c>
      <c r="U111" s="163"/>
      <c r="V111" s="163"/>
      <c r="W111" s="163"/>
      <c r="X111" s="163"/>
    </row>
    <row r="112" spans="1:24" ht="19.5" customHeight="1" x14ac:dyDescent="0.15">
      <c r="A112" s="80" t="str">
        <f>IF(L2地震動の有無="","","×")</f>
        <v/>
      </c>
      <c r="G112" s="156" t="s">
        <v>90</v>
      </c>
      <c r="H112" s="156"/>
      <c r="I112" s="156"/>
      <c r="J112" s="156"/>
      <c r="K112" s="156"/>
      <c r="L112" s="164" t="s">
        <v>97</v>
      </c>
      <c r="M112" s="165"/>
      <c r="N112" s="165"/>
      <c r="O112" s="165"/>
      <c r="P112" s="165"/>
      <c r="Q112" s="165" t="s">
        <v>98</v>
      </c>
      <c r="R112" s="165"/>
      <c r="S112" s="165"/>
      <c r="T112" s="166">
        <v>0.5</v>
      </c>
      <c r="U112" s="167"/>
      <c r="V112" s="167"/>
      <c r="W112" s="167"/>
      <c r="X112" s="167"/>
    </row>
    <row r="113" spans="1:24" ht="19.5" customHeight="1" x14ac:dyDescent="0.15">
      <c r="A113" s="80" t="str">
        <f>IF(L2地震動の有無="","","×")</f>
        <v/>
      </c>
      <c r="G113" s="156"/>
      <c r="H113" s="156"/>
      <c r="I113" s="156"/>
      <c r="J113" s="156"/>
      <c r="K113" s="156"/>
      <c r="L113" s="148" t="s">
        <v>67</v>
      </c>
      <c r="M113" s="149"/>
      <c r="N113" s="149"/>
      <c r="O113" s="149"/>
      <c r="P113" s="149"/>
      <c r="Q113" s="149"/>
      <c r="R113" s="149"/>
      <c r="S113" s="149"/>
      <c r="T113" s="150">
        <f>ROUND(P106*$T$112/$P$78,3)</f>
        <v>1.0169999999999999</v>
      </c>
      <c r="U113" s="151"/>
      <c r="V113" s="151"/>
      <c r="W113" s="151"/>
      <c r="X113" s="151"/>
    </row>
    <row r="114" spans="1:24" ht="19.5" customHeight="1" x14ac:dyDescent="0.15">
      <c r="A114" s="80" t="str">
        <f>IF(L2地震動の有無="","","×")</f>
        <v/>
      </c>
      <c r="G114" s="156"/>
      <c r="H114" s="156"/>
      <c r="I114" s="156"/>
      <c r="J114" s="156"/>
      <c r="K114" s="156"/>
      <c r="L114" s="148" t="s">
        <v>82</v>
      </c>
      <c r="M114" s="149"/>
      <c r="N114" s="149"/>
      <c r="O114" s="149"/>
      <c r="P114" s="149"/>
      <c r="Q114" s="149" t="s">
        <v>83</v>
      </c>
      <c r="R114" s="149"/>
      <c r="S114" s="149"/>
      <c r="T114" s="152">
        <f>IF(T113&lt;=$M$86,$V$86,IF(T113&gt;=$J$88,$V$88,$V$87*T113+$Z$87))</f>
        <v>0.46600000000000019</v>
      </c>
      <c r="U114" s="153"/>
      <c r="V114" s="153"/>
      <c r="W114" s="153"/>
      <c r="X114" s="153"/>
    </row>
    <row r="115" spans="1:24" ht="19.5" customHeight="1" x14ac:dyDescent="0.15">
      <c r="A115" s="80" t="str">
        <f>IF(L2地震動の有無="","","×")</f>
        <v/>
      </c>
      <c r="G115" s="157"/>
      <c r="H115" s="157"/>
      <c r="I115" s="157"/>
      <c r="J115" s="157"/>
      <c r="K115" s="157"/>
      <c r="L115" s="160" t="s">
        <v>84</v>
      </c>
      <c r="M115" s="161"/>
      <c r="N115" s="161"/>
      <c r="O115" s="161"/>
      <c r="P115" s="161"/>
      <c r="Q115" s="161" t="s">
        <v>83</v>
      </c>
      <c r="R115" s="161"/>
      <c r="S115" s="161"/>
      <c r="T115" s="162">
        <f>IF(T113&lt;=$M$90,$V$90,IF(T113&gt;=$J$92,$V$92,$V$91*T113+$Z$91))</f>
        <v>-0.53399999999999981</v>
      </c>
      <c r="U115" s="163"/>
      <c r="V115" s="163"/>
      <c r="W115" s="163"/>
      <c r="X115" s="163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 xr:uid="{00000000-0009-0000-0000-000003000000}"/>
  <dataConsolidate/>
  <mergeCells count="500"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</mergeCells>
  <phoneticPr fontId="2"/>
  <dataValidations count="1">
    <dataValidation type="list" allowBlank="1" showInputMessage="1" showErrorMessage="1" sqref="F1 O1" xr:uid="{00000000-0002-0000-0300-000000000000}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20</vt:i4>
      </vt:variant>
    </vt:vector>
  </HeadingPairs>
  <TitlesOfParts>
    <vt:vector size="24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'入力 (1)'!Print_Area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</cp:lastModifiedBy>
  <cp:lastPrinted>2017-11-16T05:55:29Z</cp:lastPrinted>
  <dcterms:created xsi:type="dcterms:W3CDTF">1997-12-09T00:45:52Z</dcterms:created>
  <dcterms:modified xsi:type="dcterms:W3CDTF">2020-05-07T05:47:27Z</dcterms:modified>
</cp:coreProperties>
</file>