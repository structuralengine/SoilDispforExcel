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A:\develop\17_08_04_高架橋設計例\"/>
    </mc:Choice>
  </mc:AlternateContent>
  <bookViews>
    <workbookView xWindow="0" yWindow="0" windowWidth="25125" windowHeight="12450" tabRatio="818" activeTab="1"/>
  </bookViews>
  <sheets>
    <sheet name="ご利用方法" sheetId="48" r:id="rId1"/>
    <sheet name="入力 (1)" sheetId="44" r:id="rId2"/>
    <sheet name="入力 (2)" sheetId="51" r:id="rId3"/>
    <sheet name="変位" sheetId="53" state="hidden" r:id="rId4"/>
  </sheets>
  <externalReferences>
    <externalReference r:id="rId5"/>
    <externalReference r:id="rId6"/>
    <externalReference r:id="rId7"/>
  </externalReferences>
  <definedNames>
    <definedName name="_1__123Graph_Aｸﾞﾗﾌ_1" localSheetId="2" hidden="1">#REF!</definedName>
    <definedName name="_1__123Graph_Aｸﾞﾗﾌ_1" localSheetId="3" hidden="1">#REF!</definedName>
    <definedName name="_1__123Graph_Aｸﾞﾗﾌ_1" hidden="1">#REF!</definedName>
    <definedName name="_10__123Graph_Cｸﾞﾗﾌ_4" localSheetId="2" hidden="1">#REF!</definedName>
    <definedName name="_10__123Graph_Cｸﾞﾗﾌ_4" localSheetId="3" hidden="1">#REF!</definedName>
    <definedName name="_10__123Graph_Cｸﾞﾗﾌ_4" hidden="1">#REF!</definedName>
    <definedName name="_11__123Graph_Dｸﾞﾗﾌ_1" hidden="1">[1]躯体の設計!$AO$1064:$AO$1065</definedName>
    <definedName name="_12__123Graph_Dｸﾞﾗﾌ_4" localSheetId="2" hidden="1">#REF!</definedName>
    <definedName name="_12__123Graph_Dｸﾞﾗﾌ_4" localSheetId="3" hidden="1">#REF!</definedName>
    <definedName name="_12__123Graph_Dｸﾞﾗﾌ_4" hidden="1">#REF!</definedName>
    <definedName name="_13__123Graph_Xｸﾞﾗﾌ_1" hidden="1">[1]躯体の設計!$AJ$1064:$AJ$1065</definedName>
    <definedName name="_14__123Graph_Xｸﾞﾗﾌ_2" localSheetId="2" hidden="1">#REF!</definedName>
    <definedName name="_14__123Graph_Xｸﾞﾗﾌ_2" localSheetId="3" hidden="1">#REF!</definedName>
    <definedName name="_14__123Graph_Xｸﾞﾗﾌ_2" hidden="1">#REF!</definedName>
    <definedName name="_15__123Graph_Xｸﾞﾗﾌ_3" localSheetId="2" hidden="1">#REF!</definedName>
    <definedName name="_15__123Graph_Xｸﾞﾗﾌ_3" localSheetId="3" hidden="1">#REF!</definedName>
    <definedName name="_15__123Graph_Xｸﾞﾗﾌ_3" hidden="1">#REF!</definedName>
    <definedName name="_2__123Graph_Aｸﾞﾗﾌ_2" localSheetId="2" hidden="1">#REF!</definedName>
    <definedName name="_2__123Graph_Aｸﾞﾗﾌ_2" localSheetId="3" hidden="1">#REF!</definedName>
    <definedName name="_2__123Graph_Aｸﾞﾗﾌ_2" hidden="1">#REF!</definedName>
    <definedName name="_3__123Graph_Aｸﾞﾗﾌ_3" localSheetId="2" hidden="1">#REF!</definedName>
    <definedName name="_3__123Graph_Aｸﾞﾗﾌ_3" localSheetId="3" hidden="1">#REF!</definedName>
    <definedName name="_3__123Graph_Aｸﾞﾗﾌ_3" hidden="1">#REF!</definedName>
    <definedName name="_4__123Graph_Aｸﾞﾗﾌ_4" localSheetId="2" hidden="1">#REF!</definedName>
    <definedName name="_4__123Graph_Aｸﾞﾗﾌ_4" localSheetId="3" hidden="1">#REF!</definedName>
    <definedName name="_4__123Graph_Aｸﾞﾗﾌ_4" hidden="1">#REF!</definedName>
    <definedName name="_5__123Graph_Bｸﾞﾗﾌ_1" localSheetId="2" hidden="1">#REF!</definedName>
    <definedName name="_5__123Graph_Bｸﾞﾗﾌ_1" localSheetId="3" hidden="1">#REF!</definedName>
    <definedName name="_5__123Graph_Bｸﾞﾗﾌ_1" hidden="1">#REF!</definedName>
    <definedName name="_6__123Graph_Bｸﾞﾗﾌ_2" localSheetId="2" hidden="1">#REF!</definedName>
    <definedName name="_6__123Graph_Bｸﾞﾗﾌ_2" localSheetId="3" hidden="1">#REF!</definedName>
    <definedName name="_6__123Graph_Bｸﾞﾗﾌ_2" hidden="1">#REF!</definedName>
    <definedName name="_7__123Graph_Bｸﾞﾗﾌ_3" localSheetId="2" hidden="1">#REF!</definedName>
    <definedName name="_7__123Graph_Bｸﾞﾗﾌ_3" localSheetId="3" hidden="1">#REF!</definedName>
    <definedName name="_7__123Graph_Bｸﾞﾗﾌ_3" hidden="1">#REF!</definedName>
    <definedName name="_8__123Graph_Bｸﾞﾗﾌ_4" localSheetId="2" hidden="1">#REF!</definedName>
    <definedName name="_8__123Graph_Bｸﾞﾗﾌ_4" localSheetId="3" hidden="1">#REF!</definedName>
    <definedName name="_8__123Graph_Bｸﾞﾗﾌ_4" hidden="1">#REF!</definedName>
    <definedName name="_9__123Graph_Cｸﾞﾗﾌ_1" hidden="1">[1]躯体の設計!$AN$1064:$AN$1065</definedName>
    <definedName name="_DEL2" localSheetId="2" hidden="1">#REF!</definedName>
    <definedName name="_DEL2" localSheetId="3" hidden="1">#REF!</definedName>
    <definedName name="_DEL2" hidden="1">#REF!</definedName>
    <definedName name="_Fill" localSheetId="2" hidden="1">#REF!</definedName>
    <definedName name="_Fill" localSheetId="3" hidden="1">#REF!</definedName>
    <definedName name="_Fill" hidden="1">#REF!</definedName>
    <definedName name="_xlnm._FilterDatabase" localSheetId="1" hidden="1">'入力 (1)'!#REF!</definedName>
    <definedName name="_xlnm._FilterDatabase" localSheetId="2" hidden="1">'入力 (2)'!#REF!</definedName>
    <definedName name="_xlnm._FilterDatabase" localSheetId="3" hidden="1">変位!$A$1:$A$117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anscount" hidden="1">1</definedName>
    <definedName name="DEL" localSheetId="2" hidden="1">#REF!</definedName>
    <definedName name="DEL" localSheetId="3" hidden="1">#REF!</definedName>
    <definedName name="DEL" hidden="1">#REF!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L1νL" localSheetId="3">変位!$T$111</definedName>
    <definedName name="L1νu" localSheetId="3">変位!$T$110</definedName>
    <definedName name="L1地震動の有無" localSheetId="3">変位!$F$1</definedName>
    <definedName name="L2νL" localSheetId="3">変位!$T$115</definedName>
    <definedName name="L2νu" localSheetId="3">変位!$T$114</definedName>
    <definedName name="L2地震動の有無" localSheetId="3">変位!$O$1</definedName>
    <definedName name="_xlnm.Print_Area" localSheetId="3">変位!$B$2:$AH$117</definedName>
    <definedName name="Teq" localSheetId="3">変位!$P$106</definedName>
    <definedName name="Tg" localSheetId="3">変位!$P$78</definedName>
    <definedName name="ええ" hidden="1">{"'表紙・目次 '!$A$8:$K$8"}</definedName>
    <definedName name="バージョン" localSheetId="2">'入力 (2)'!$B$4</definedName>
    <definedName name="パスワード">ご利用方法!$B$16</definedName>
    <definedName name="ユーザー名">ご利用方法!$B$14</definedName>
    <definedName name="応答変位Table" localSheetId="3">変位!$E$12:$AD$70</definedName>
    <definedName name="終局せん断" hidden="1">{"'表紙・目次 '!$A$8:$K$8"}</definedName>
    <definedName name="設計条件" hidden="1">{"'表紙・目次 '!$A$8:$K$8"}</definedName>
    <definedName name="地域別係数" localSheetId="1">'入力 (1)'!$D$4</definedName>
    <definedName name="地盤の固有周期" localSheetId="1">'入力 (1)'!$D$5</definedName>
    <definedName name="抵抗モーメント" hidden="1">[3]ｽｲﾍｲ!$C$22</definedName>
    <definedName name="入力Table" localSheetId="1">'入力 (1)'!$C$14:$E$71</definedName>
    <definedName name="白紙" hidden="1">[2]ｽｲﾍｲ!$C$22</definedName>
    <definedName name="標準設計震度" localSheetId="1">'入力 (1)'!$D$3</definedName>
    <definedName name="変位量Table" localSheetId="1">'入力 (1)'!$F$13:$H$71</definedName>
    <definedName name="連携ファイル設定Table" localSheetId="2">'入力 (2)'!$C$11:$G$69</definedName>
  </definedNames>
  <calcPr calcId="152511"/>
</workbook>
</file>

<file path=xl/calcChain.xml><?xml version="1.0" encoding="utf-8"?>
<calcChain xmlns="http://schemas.openxmlformats.org/spreadsheetml/2006/main">
  <c r="A112" i="53" l="1"/>
  <c r="A115" i="53"/>
  <c r="A114" i="53"/>
  <c r="A113" i="53"/>
  <c r="A111" i="53"/>
  <c r="A110" i="53"/>
  <c r="A109" i="53"/>
  <c r="A108" i="53"/>
  <c r="P78" i="53"/>
  <c r="Z70" i="53"/>
  <c r="U70" i="53"/>
  <c r="Q70" i="53"/>
  <c r="N70" i="53"/>
  <c r="H70" i="53"/>
  <c r="E70" i="53"/>
  <c r="A70" i="53"/>
  <c r="Z69" i="53"/>
  <c r="U69" i="53"/>
  <c r="Q69" i="53"/>
  <c r="N69" i="53"/>
  <c r="H69" i="53"/>
  <c r="E69" i="53"/>
  <c r="A69" i="53"/>
  <c r="Z68" i="53"/>
  <c r="U68" i="53"/>
  <c r="Q68" i="53"/>
  <c r="N68" i="53"/>
  <c r="H68" i="53"/>
  <c r="E68" i="53"/>
  <c r="A68" i="53"/>
  <c r="Z67" i="53"/>
  <c r="U67" i="53"/>
  <c r="Q67" i="53"/>
  <c r="N67" i="53"/>
  <c r="H67" i="53"/>
  <c r="E67" i="53"/>
  <c r="A67" i="53"/>
  <c r="Z66" i="53"/>
  <c r="U66" i="53"/>
  <c r="Q66" i="53"/>
  <c r="N66" i="53"/>
  <c r="H66" i="53"/>
  <c r="E66" i="53"/>
  <c r="A66" i="53"/>
  <c r="Z65" i="53"/>
  <c r="U65" i="53"/>
  <c r="Q65" i="53"/>
  <c r="N65" i="53"/>
  <c r="H65" i="53"/>
  <c r="E65" i="53"/>
  <c r="A65" i="53"/>
  <c r="Z64" i="53"/>
  <c r="U64" i="53"/>
  <c r="Q64" i="53"/>
  <c r="N64" i="53"/>
  <c r="H64" i="53"/>
  <c r="E64" i="53"/>
  <c r="A64" i="53"/>
  <c r="Z63" i="53"/>
  <c r="U63" i="53"/>
  <c r="Q63" i="53"/>
  <c r="N63" i="53"/>
  <c r="H63" i="53"/>
  <c r="E63" i="53"/>
  <c r="A63" i="53"/>
  <c r="Z62" i="53"/>
  <c r="U62" i="53"/>
  <c r="Q62" i="53"/>
  <c r="N62" i="53"/>
  <c r="H62" i="53"/>
  <c r="E62" i="53"/>
  <c r="A62" i="53"/>
  <c r="Z61" i="53"/>
  <c r="U61" i="53"/>
  <c r="Q61" i="53"/>
  <c r="N61" i="53"/>
  <c r="H61" i="53"/>
  <c r="E61" i="53"/>
  <c r="A61" i="53"/>
  <c r="Z60" i="53"/>
  <c r="U60" i="53"/>
  <c r="Q60" i="53"/>
  <c r="N60" i="53"/>
  <c r="H60" i="53"/>
  <c r="E60" i="53"/>
  <c r="A60" i="53"/>
  <c r="Z59" i="53"/>
  <c r="U59" i="53"/>
  <c r="Q59" i="53"/>
  <c r="N59" i="53"/>
  <c r="H59" i="53"/>
  <c r="E59" i="53"/>
  <c r="A59" i="53"/>
  <c r="Z58" i="53"/>
  <c r="U58" i="53"/>
  <c r="Q58" i="53"/>
  <c r="N58" i="53"/>
  <c r="H58" i="53"/>
  <c r="E58" i="53"/>
  <c r="A58" i="53"/>
  <c r="Z57" i="53"/>
  <c r="U57" i="53"/>
  <c r="Q57" i="53"/>
  <c r="N57" i="53"/>
  <c r="H57" i="53"/>
  <c r="E57" i="53"/>
  <c r="A57" i="53"/>
  <c r="Z56" i="53"/>
  <c r="U56" i="53"/>
  <c r="Q56" i="53"/>
  <c r="N56" i="53"/>
  <c r="H56" i="53"/>
  <c r="E56" i="53"/>
  <c r="A56" i="53"/>
  <c r="Z55" i="53"/>
  <c r="U55" i="53"/>
  <c r="Q55" i="53"/>
  <c r="N55" i="53"/>
  <c r="H55" i="53"/>
  <c r="E55" i="53"/>
  <c r="A55" i="53"/>
  <c r="Z54" i="53"/>
  <c r="U54" i="53"/>
  <c r="Q54" i="53"/>
  <c r="N54" i="53"/>
  <c r="H54" i="53"/>
  <c r="E54" i="53"/>
  <c r="A54" i="53"/>
  <c r="Z53" i="53"/>
  <c r="U53" i="53"/>
  <c r="Q53" i="53"/>
  <c r="N53" i="53"/>
  <c r="H53" i="53"/>
  <c r="E53" i="53"/>
  <c r="A53" i="53"/>
  <c r="Z52" i="53"/>
  <c r="U52" i="53"/>
  <c r="Q52" i="53"/>
  <c r="N52" i="53"/>
  <c r="H52" i="53"/>
  <c r="E52" i="53"/>
  <c r="A52" i="53"/>
  <c r="Z51" i="53"/>
  <c r="U51" i="53"/>
  <c r="Q51" i="53"/>
  <c r="N51" i="53"/>
  <c r="H51" i="53"/>
  <c r="E51" i="53"/>
  <c r="A51" i="53"/>
  <c r="Z50" i="53"/>
  <c r="U50" i="53"/>
  <c r="Q50" i="53"/>
  <c r="N50" i="53"/>
  <c r="H50" i="53"/>
  <c r="E50" i="53"/>
  <c r="A50" i="53"/>
  <c r="Z49" i="53"/>
  <c r="U49" i="53"/>
  <c r="Q49" i="53"/>
  <c r="N49" i="53"/>
  <c r="H49" i="53"/>
  <c r="E49" i="53"/>
  <c r="A49" i="53"/>
  <c r="Z48" i="53"/>
  <c r="U48" i="53"/>
  <c r="Q48" i="53"/>
  <c r="N48" i="53"/>
  <c r="H48" i="53"/>
  <c r="E48" i="53"/>
  <c r="A48" i="53"/>
  <c r="Z47" i="53"/>
  <c r="U47" i="53"/>
  <c r="Q47" i="53"/>
  <c r="N47" i="53"/>
  <c r="H47" i="53"/>
  <c r="E47" i="53"/>
  <c r="A47" i="53"/>
  <c r="Z46" i="53"/>
  <c r="U46" i="53"/>
  <c r="Q46" i="53"/>
  <c r="N46" i="53"/>
  <c r="H46" i="53"/>
  <c r="E46" i="53"/>
  <c r="A46" i="53"/>
  <c r="Z45" i="53"/>
  <c r="U45" i="53"/>
  <c r="Q45" i="53"/>
  <c r="N45" i="53"/>
  <c r="H45" i="53"/>
  <c r="E45" i="53"/>
  <c r="A45" i="53"/>
  <c r="Z44" i="53"/>
  <c r="U44" i="53"/>
  <c r="Q44" i="53"/>
  <c r="N44" i="53"/>
  <c r="H44" i="53"/>
  <c r="E44" i="53"/>
  <c r="A44" i="53"/>
  <c r="Z43" i="53"/>
  <c r="U43" i="53"/>
  <c r="Q43" i="53"/>
  <c r="N43" i="53"/>
  <c r="H43" i="53"/>
  <c r="E43" i="53"/>
  <c r="A43" i="53"/>
  <c r="Z42" i="53"/>
  <c r="U42" i="53"/>
  <c r="Q42" i="53"/>
  <c r="N42" i="53"/>
  <c r="H42" i="53"/>
  <c r="E42" i="53"/>
  <c r="A42" i="53"/>
  <c r="Z41" i="53"/>
  <c r="U41" i="53"/>
  <c r="Q41" i="53"/>
  <c r="N41" i="53"/>
  <c r="H41" i="53"/>
  <c r="E41" i="53"/>
  <c r="A41" i="53"/>
  <c r="Z40" i="53"/>
  <c r="U40" i="53"/>
  <c r="Q40" i="53"/>
  <c r="N40" i="53"/>
  <c r="H40" i="53"/>
  <c r="E40" i="53"/>
  <c r="A40" i="53"/>
  <c r="Z39" i="53"/>
  <c r="U39" i="53"/>
  <c r="Q39" i="53"/>
  <c r="N39" i="53"/>
  <c r="H39" i="53"/>
  <c r="E39" i="53"/>
  <c r="A39" i="53"/>
  <c r="Z38" i="53"/>
  <c r="U38" i="53"/>
  <c r="Q38" i="53"/>
  <c r="N38" i="53"/>
  <c r="H38" i="53"/>
  <c r="E38" i="53"/>
  <c r="A38" i="53"/>
  <c r="Z37" i="53"/>
  <c r="U37" i="53"/>
  <c r="Q37" i="53"/>
  <c r="N37" i="53"/>
  <c r="H37" i="53"/>
  <c r="E37" i="53"/>
  <c r="A37" i="53"/>
  <c r="Z36" i="53"/>
  <c r="U36" i="53"/>
  <c r="Q36" i="53"/>
  <c r="N36" i="53"/>
  <c r="H36" i="53"/>
  <c r="E36" i="53"/>
  <c r="A36" i="53"/>
  <c r="Z35" i="53"/>
  <c r="U35" i="53"/>
  <c r="Q35" i="53"/>
  <c r="N35" i="53"/>
  <c r="H35" i="53"/>
  <c r="E35" i="53"/>
  <c r="A35" i="53"/>
  <c r="Z34" i="53"/>
  <c r="U34" i="53"/>
  <c r="Q34" i="53"/>
  <c r="N34" i="53"/>
  <c r="H34" i="53"/>
  <c r="A34" i="53" s="1"/>
  <c r="E34" i="53"/>
  <c r="Z33" i="53"/>
  <c r="U33" i="53"/>
  <c r="Q33" i="53"/>
  <c r="N33" i="53"/>
  <c r="H33" i="53"/>
  <c r="A33" i="53" s="1"/>
  <c r="E33" i="53"/>
  <c r="Z32" i="53"/>
  <c r="U32" i="53"/>
  <c r="Q32" i="53"/>
  <c r="N32" i="53"/>
  <c r="H32" i="53"/>
  <c r="A32" i="53" s="1"/>
  <c r="E32" i="53"/>
  <c r="Z31" i="53"/>
  <c r="U31" i="53"/>
  <c r="Q31" i="53"/>
  <c r="N31" i="53"/>
  <c r="H31" i="53"/>
  <c r="A31" i="53" s="1"/>
  <c r="E31" i="53"/>
  <c r="Z30" i="53"/>
  <c r="U30" i="53"/>
  <c r="Q30" i="53"/>
  <c r="N30" i="53"/>
  <c r="H30" i="53"/>
  <c r="A30" i="53" s="1"/>
  <c r="E30" i="53"/>
  <c r="Z29" i="53"/>
  <c r="U29" i="53"/>
  <c r="Q29" i="53"/>
  <c r="N29" i="53"/>
  <c r="H29" i="53"/>
  <c r="E29" i="53"/>
  <c r="A29" i="53"/>
  <c r="Z28" i="53"/>
  <c r="U28" i="53"/>
  <c r="Q28" i="53"/>
  <c r="N28" i="53"/>
  <c r="H28" i="53"/>
  <c r="E28" i="53"/>
  <c r="A28" i="53"/>
  <c r="Z27" i="53"/>
  <c r="U27" i="53"/>
  <c r="Q27" i="53"/>
  <c r="N27" i="53"/>
  <c r="H27" i="53"/>
  <c r="E27" i="53"/>
  <c r="A27" i="53"/>
  <c r="Z26" i="53"/>
  <c r="U26" i="53"/>
  <c r="Q26" i="53"/>
  <c r="N26" i="53"/>
  <c r="H26" i="53"/>
  <c r="A26" i="53" s="1"/>
  <c r="E26" i="53"/>
  <c r="Z25" i="53"/>
  <c r="U25" i="53"/>
  <c r="Q25" i="53"/>
  <c r="N25" i="53"/>
  <c r="H25" i="53"/>
  <c r="A25" i="53" s="1"/>
  <c r="E25" i="53"/>
  <c r="Z24" i="53"/>
  <c r="U24" i="53"/>
  <c r="Q24" i="53"/>
  <c r="N24" i="53"/>
  <c r="H24" i="53"/>
  <c r="A24" i="53" s="1"/>
  <c r="E24" i="53"/>
  <c r="Z23" i="53"/>
  <c r="U23" i="53"/>
  <c r="Q23" i="53"/>
  <c r="N23" i="53"/>
  <c r="H23" i="53"/>
  <c r="A23" i="53" s="1"/>
  <c r="E23" i="53"/>
  <c r="Z22" i="53"/>
  <c r="U22" i="53"/>
  <c r="Q22" i="53"/>
  <c r="N22" i="53"/>
  <c r="H22" i="53"/>
  <c r="A22" i="53" s="1"/>
  <c r="E22" i="53"/>
  <c r="Z21" i="53"/>
  <c r="U21" i="53"/>
  <c r="Q21" i="53"/>
  <c r="N21" i="53"/>
  <c r="H21" i="53"/>
  <c r="A21" i="53" s="1"/>
  <c r="E21" i="53"/>
  <c r="Z20" i="53"/>
  <c r="U20" i="53"/>
  <c r="Q20" i="53"/>
  <c r="N20" i="53"/>
  <c r="H20" i="53"/>
  <c r="A20" i="53" s="1"/>
  <c r="E20" i="53"/>
  <c r="Z19" i="53"/>
  <c r="U19" i="53"/>
  <c r="Q19" i="53"/>
  <c r="N19" i="53"/>
  <c r="H19" i="53"/>
  <c r="A19" i="53" s="1"/>
  <c r="E19" i="53"/>
  <c r="Z18" i="53"/>
  <c r="U18" i="53"/>
  <c r="Q18" i="53"/>
  <c r="N18" i="53"/>
  <c r="H18" i="53"/>
  <c r="A18" i="53" s="1"/>
  <c r="E18" i="53"/>
  <c r="Z17" i="53"/>
  <c r="U17" i="53"/>
  <c r="Q17" i="53"/>
  <c r="N17" i="53"/>
  <c r="H17" i="53"/>
  <c r="A17" i="53" s="1"/>
  <c r="E17" i="53"/>
  <c r="Z16" i="53"/>
  <c r="U16" i="53"/>
  <c r="Q16" i="53"/>
  <c r="N16" i="53"/>
  <c r="H16" i="53"/>
  <c r="A16" i="53" s="1"/>
  <c r="E16" i="53"/>
  <c r="Z15" i="53"/>
  <c r="U15" i="53"/>
  <c r="Q15" i="53"/>
  <c r="N15" i="53"/>
  <c r="H15" i="53"/>
  <c r="A15" i="53" s="1"/>
  <c r="E15" i="53"/>
  <c r="Z14" i="53"/>
  <c r="U14" i="53"/>
  <c r="Q14" i="53"/>
  <c r="N14" i="53"/>
  <c r="H14" i="53"/>
  <c r="A14" i="53" s="1"/>
  <c r="E14" i="53"/>
  <c r="Z13" i="53"/>
  <c r="U13" i="53"/>
  <c r="Q13" i="53"/>
  <c r="N13" i="53"/>
  <c r="H13" i="53"/>
  <c r="E13" i="53"/>
  <c r="A13" i="53"/>
  <c r="Z12" i="53"/>
  <c r="U12" i="53"/>
  <c r="Q12" i="53"/>
  <c r="N12" i="53"/>
  <c r="H12" i="53"/>
  <c r="E12" i="53"/>
  <c r="T109" i="53" l="1"/>
  <c r="T111" i="53" s="1"/>
  <c r="K70" i="53"/>
  <c r="T113" i="53"/>
  <c r="T114" i="53" s="1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T110" i="53" l="1"/>
  <c r="T115" i="53"/>
  <c r="I975" i="44"/>
</calcChain>
</file>

<file path=xl/sharedStrings.xml><?xml version="1.0" encoding="utf-8"?>
<sst xmlns="http://schemas.openxmlformats.org/spreadsheetml/2006/main" count="183" uniqueCount="122">
  <si>
    <t>層番</t>
    <rPh sb="0" eb="1">
      <t>ソウ</t>
    </rPh>
    <rPh sb="1" eb="2">
      <t>バン</t>
    </rPh>
    <phoneticPr fontId="2"/>
  </si>
  <si>
    <t>は じ め に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</si>
  <si>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</si>
  <si>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Office ドキュメントのマクロを有効または無効にする</t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</si>
  <si>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</si>
  <si>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</si>
  <si>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パスワード</t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</si>
  <si>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</si>
  <si>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</si>
  <si>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省略できます</t>
    <rPh sb="0" eb="2">
      <t>ショウリャク</t>
    </rPh>
    <phoneticPr fontId="2"/>
  </si>
  <si>
    <t>免責事項</t>
    <phoneticPr fontId="2"/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</si>
  <si>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</si>
  <si>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</si>
  <si>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やデータの喪失、その他の金銭的損失を含むがこれに限定されず)について、弊社は</t>
  </si>
  <si>
    <t>購入者に対していかなる賠償する責を負わず、懲罰的損害賠償も行わないものとい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</si>
  <si>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</si>
  <si>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</si>
  <si>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</si>
  <si>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</si>
  <si>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t>お問い合わせ</t>
    <rPh sb="1" eb="2">
      <t>ト</t>
    </rPh>
    <rPh sb="3" eb="4">
      <t>ア</t>
    </rPh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</si>
  <si>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</si>
  <si>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</si>
  <si>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</si>
  <si>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</si>
  <si>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　　ＴＥＬ：</t>
    </r>
    <r>
      <rPr>
        <sz val="11"/>
        <rFont val="ＭＳ Ｐゴシック"/>
        <family val="3"/>
        <charset val="128"/>
      </rPr>
      <t>050-5806-0301</t>
    </r>
    <phoneticPr fontId="2"/>
  </si>
  <si>
    <t>┃　　Ｍail ：sasaicco@gmail.com </t>
    <phoneticPr fontId="2"/>
  </si>
  <si>
    <r>
      <t>┃　　ＵＲＬ：http://structuralengine.</t>
    </r>
    <r>
      <rPr>
        <sz val="11"/>
        <rFont val="ＭＳ Ｐゴシック"/>
        <family val="3"/>
        <charset val="128"/>
      </rPr>
      <t>jp</t>
    </r>
    <phoneticPr fontId="2"/>
  </si>
  <si>
    <t>本システムは、「鉄道構造物等設計標準・同解説（基礎構造物）平成24年版」</t>
    <rPh sb="23" eb="25">
      <t>キソ</t>
    </rPh>
    <phoneticPr fontId="2"/>
  </si>
  <si>
    <t>番号</t>
  </si>
  <si>
    <t>SNAP連携ファイルのための入力データ</t>
    <rPh sb="4" eb="6">
      <t>レンケイ</t>
    </rPh>
    <rPh sb="14" eb="16">
      <t>ニュウリョク</t>
    </rPh>
    <phoneticPr fontId="2"/>
  </si>
  <si>
    <t>地盤変位量の算定</t>
    <rPh sb="0" eb="2">
      <t>ジバン</t>
    </rPh>
    <rPh sb="2" eb="4">
      <t>ヘンイ</t>
    </rPh>
    <rPh sb="4" eb="5">
      <t>リョウ</t>
    </rPh>
    <rPh sb="6" eb="8">
      <t>サンテイ</t>
    </rPh>
    <phoneticPr fontId="2"/>
  </si>
  <si>
    <t>応答変位量</t>
    <rPh sb="0" eb="2">
      <t>オウトウ</t>
    </rPh>
    <rPh sb="2" eb="4">
      <t>ヘンイ</t>
    </rPh>
    <rPh sb="4" eb="5">
      <t>リョウ</t>
    </rPh>
    <phoneticPr fontId="2"/>
  </si>
  <si>
    <r>
      <t>(</t>
    </r>
    <r>
      <rPr>
        <sz val="10"/>
        <rFont val="ＭＳ 明朝"/>
        <family val="1"/>
        <charset val="128"/>
      </rPr>
      <t>m</t>
    </r>
    <r>
      <rPr>
        <sz val="10"/>
        <rFont val="ＭＳ 明朝"/>
        <family val="1"/>
        <charset val="128"/>
      </rPr>
      <t>)</t>
    </r>
    <phoneticPr fontId="2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</si>
  <si>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2"/>
  </si>
  <si>
    <t>(m/s)</t>
  </si>
  <si>
    <t>(mm)</t>
    <phoneticPr fontId="23"/>
  </si>
  <si>
    <t>標準設計震度＝</t>
    <phoneticPr fontId="2"/>
  </si>
  <si>
    <t>地域別係数＝</t>
    <phoneticPr fontId="23"/>
  </si>
  <si>
    <r>
      <t>Ｔ</t>
    </r>
    <r>
      <rPr>
        <vertAlign val="subscript"/>
        <sz val="10"/>
        <rFont val="ＭＳ 明朝"/>
        <family val="1"/>
        <charset val="128"/>
      </rPr>
      <t>g</t>
    </r>
    <r>
      <rPr>
        <sz val="10"/>
        <rFont val="ＭＳ 明朝"/>
        <family val="1"/>
        <charset val="128"/>
      </rPr>
      <t xml:space="preserve"> ＝</t>
    </r>
    <phoneticPr fontId="2"/>
  </si>
  <si>
    <t>sec</t>
    <phoneticPr fontId="2"/>
  </si>
  <si>
    <t>層厚</t>
    <rPh sb="0" eb="1">
      <t>ソウ</t>
    </rPh>
    <rPh sb="1" eb="2">
      <t>アツ</t>
    </rPh>
    <phoneticPr fontId="2"/>
  </si>
  <si>
    <r>
      <t>δ</t>
    </r>
    <r>
      <rPr>
        <vertAlign val="subscript"/>
        <sz val="10"/>
        <rFont val="ＭＳ 明朝"/>
        <family val="1"/>
        <charset val="128"/>
      </rPr>
      <t>L1</t>
    </r>
    <phoneticPr fontId="23"/>
  </si>
  <si>
    <t xml:space="preserve">L1地震動 </t>
    <phoneticPr fontId="2"/>
  </si>
  <si>
    <r>
      <t xml:space="preserve"> δ</t>
    </r>
    <r>
      <rPr>
        <vertAlign val="subscript"/>
        <sz val="10"/>
        <rFont val="ＭＳ 明朝"/>
        <family val="1"/>
        <charset val="128"/>
      </rPr>
      <t>L2Ⅰ</t>
    </r>
    <phoneticPr fontId="23"/>
  </si>
  <si>
    <t>L2地震動</t>
  </si>
  <si>
    <r>
      <t>δ</t>
    </r>
    <r>
      <rPr>
        <vertAlign val="subscript"/>
        <sz val="10"/>
        <rFont val="ＭＳ 明朝"/>
        <family val="1"/>
        <charset val="128"/>
      </rPr>
      <t>L2Ⅱ</t>
    </r>
    <phoneticPr fontId="23"/>
  </si>
  <si>
    <t>ｽﾍﾟｸﾄﾙⅠ</t>
    <phoneticPr fontId="2"/>
  </si>
  <si>
    <t>ｽﾍﾟｸﾄﾙⅡ</t>
    <phoneticPr fontId="2"/>
  </si>
  <si>
    <r>
      <t>せん断波速度V</t>
    </r>
    <r>
      <rPr>
        <vertAlign val="subscript"/>
        <sz val="10"/>
        <rFont val="ＭＳ 明朝"/>
        <family val="1"/>
        <charset val="128"/>
      </rPr>
      <t>sod</t>
    </r>
    <rPh sb="2" eb="3">
      <t>ダン</t>
    </rPh>
    <rPh sb="3" eb="4">
      <t>ハ</t>
    </rPh>
    <rPh sb="4" eb="6">
      <t>ソクド</t>
    </rPh>
    <phoneticPr fontId="2"/>
  </si>
  <si>
    <t>単位体積重量γ</t>
    <rPh sb="0" eb="2">
      <t>タンイ</t>
    </rPh>
    <rPh sb="2" eb="4">
      <t>タイセキ</t>
    </rPh>
    <rPh sb="4" eb="6">
      <t>ジュウリョウ</t>
    </rPh>
    <phoneticPr fontId="2"/>
  </si>
  <si>
    <t>"SoilDisp" --- 応答変位量算定プログラム</t>
    <rPh sb="15" eb="17">
      <t>オウトウ</t>
    </rPh>
    <rPh sb="17" eb="19">
      <t>ヘングライ</t>
    </rPh>
    <rPh sb="19" eb="20">
      <t>リョウ</t>
    </rPh>
    <rPh sb="20" eb="22">
      <t>サンテイ</t>
    </rPh>
    <phoneticPr fontId="2"/>
  </si>
  <si>
    <t>（以下 【基礎標準】と記す)に対応した j地盤の応答変位量 を算定するシステムです。</t>
    <rPh sb="5" eb="7">
      <t>キソ</t>
    </rPh>
    <rPh sb="21" eb="23">
      <t>ジバン</t>
    </rPh>
    <rPh sb="24" eb="26">
      <t>オウトウ</t>
    </rPh>
    <rPh sb="26" eb="28">
      <t>ヘングライ</t>
    </rPh>
    <rPh sb="28" eb="29">
      <t>リョウ</t>
    </rPh>
    <rPh sb="31" eb="33">
      <t>サンテイ</t>
    </rPh>
    <phoneticPr fontId="2"/>
  </si>
  <si>
    <t>本システムは、入力データをサーバーに送出し, 応答変位量をサーバーから受け取ります</t>
    <rPh sb="18" eb="20">
      <t>ソウシュツ</t>
    </rPh>
    <rPh sb="23" eb="25">
      <t>オウトウ</t>
    </rPh>
    <rPh sb="25" eb="27">
      <t>ヘングライ</t>
    </rPh>
    <rPh sb="27" eb="28">
      <t>リョウ</t>
    </rPh>
    <rPh sb="35" eb="36">
      <t>ウ</t>
    </rPh>
    <rPh sb="37" eb="38">
      <t>ト</t>
    </rPh>
    <phoneticPr fontId="2"/>
  </si>
  <si>
    <t>表層</t>
    <rPh sb="0" eb="2">
      <t>ヒョウソウ</t>
    </rPh>
    <phoneticPr fontId="2"/>
  </si>
  <si>
    <t>構造物の固有周期</t>
    <rPh sb="0" eb="3">
      <t>コウゾウブツ</t>
    </rPh>
    <rPh sb="4" eb="6">
      <t>コユウ</t>
    </rPh>
    <rPh sb="6" eb="8">
      <t>シュウキ</t>
    </rPh>
    <phoneticPr fontId="2"/>
  </si>
  <si>
    <t>(sec)</t>
    <phoneticPr fontId="2"/>
  </si>
  <si>
    <t>名　　称</t>
    <rPh sb="0" eb="1">
      <t>ナ</t>
    </rPh>
    <rPh sb="3" eb="4">
      <t>ショウ</t>
    </rPh>
    <phoneticPr fontId="2"/>
  </si>
  <si>
    <t>応答変位量の計算のための入力データ</t>
    <rPh sb="12" eb="14">
      <t>ニュウリョク</t>
    </rPh>
    <phoneticPr fontId="2"/>
  </si>
  <si>
    <t>□</t>
    <phoneticPr fontId="2"/>
  </si>
  <si>
    <t>□：対象外/■：SNAP連携ファイルを作成する</t>
    <rPh sb="2" eb="5">
      <t>タイショウガイ</t>
    </rPh>
    <rPh sb="19" eb="21">
      <t>サクセイ</t>
    </rPh>
    <phoneticPr fontId="2"/>
  </si>
  <si>
    <t>応答変位法の検討</t>
    <rPh sb="0" eb="2">
      <t>オウトウ</t>
    </rPh>
    <rPh sb="2" eb="4">
      <t>ヘンイ</t>
    </rPh>
    <rPh sb="4" eb="5">
      <t>ホウ</t>
    </rPh>
    <rPh sb="6" eb="8">
      <t>ケントウ</t>
    </rPh>
    <phoneticPr fontId="23"/>
  </si>
  <si>
    <t>表層地盤の固有周期</t>
    <rPh sb="0" eb="2">
      <t>ヒョウソウ</t>
    </rPh>
    <rPh sb="2" eb="4">
      <t>ジバン</t>
    </rPh>
    <rPh sb="5" eb="7">
      <t>コユウ</t>
    </rPh>
    <rPh sb="7" eb="9">
      <t>シュウキ</t>
    </rPh>
    <phoneticPr fontId="23"/>
  </si>
  <si>
    <t>Tg =</t>
    <phoneticPr fontId="23"/>
  </si>
  <si>
    <t>sec</t>
    <phoneticPr fontId="23"/>
  </si>
  <si>
    <t>　構造物と地盤の動的相互作用を考慮した補正係数 υ を用いて計算する。</t>
    <rPh sb="1" eb="4">
      <t>コウゾウブツ</t>
    </rPh>
    <rPh sb="5" eb="7">
      <t>ジバン</t>
    </rPh>
    <rPh sb="8" eb="10">
      <t>ドウテキ</t>
    </rPh>
    <rPh sb="10" eb="12">
      <t>ソウゴ</t>
    </rPh>
    <rPh sb="12" eb="14">
      <t>サヨウ</t>
    </rPh>
    <rPh sb="15" eb="17">
      <t>コウリョ</t>
    </rPh>
    <rPh sb="19" eb="21">
      <t>ホセイ</t>
    </rPh>
    <rPh sb="21" eb="23">
      <t>ケイスウ</t>
    </rPh>
    <rPh sb="27" eb="28">
      <t>モチ</t>
    </rPh>
    <rPh sb="30" eb="32">
      <t>ケイサン</t>
    </rPh>
    <phoneticPr fontId="23"/>
  </si>
  <si>
    <t>( 上限値 )</t>
    <rPh sb="2" eb="4">
      <t>ジョウゲン</t>
    </rPh>
    <rPh sb="4" eb="5">
      <t>アタイ</t>
    </rPh>
    <phoneticPr fontId="23"/>
  </si>
  <si>
    <t>①</t>
    <phoneticPr fontId="23"/>
  </si>
  <si>
    <t>α</t>
    <phoneticPr fontId="23"/>
  </si>
  <si>
    <t>≦</t>
    <phoneticPr fontId="23"/>
  </si>
  <si>
    <t>νu</t>
    <phoneticPr fontId="23"/>
  </si>
  <si>
    <t>=</t>
    <phoneticPr fontId="23"/>
  </si>
  <si>
    <t>②</t>
    <phoneticPr fontId="23"/>
  </si>
  <si>
    <t>＜</t>
    <phoneticPr fontId="23"/>
  </si>
  <si>
    <t>③</t>
    <phoneticPr fontId="23"/>
  </si>
  <si>
    <t>( 下限値 )</t>
    <rPh sb="2" eb="4">
      <t>カゲン</t>
    </rPh>
    <rPh sb="4" eb="5">
      <t>アタイ</t>
    </rPh>
    <phoneticPr fontId="23"/>
  </si>
  <si>
    <t>ここに</t>
    <phoneticPr fontId="23"/>
  </si>
  <si>
    <t>:</t>
    <phoneticPr fontId="23"/>
  </si>
  <si>
    <t>地盤と構造物の固有周期の比で、</t>
    <rPh sb="0" eb="2">
      <t>ジバン</t>
    </rPh>
    <rPh sb="3" eb="5">
      <t>コウゾウ</t>
    </rPh>
    <rPh sb="5" eb="6">
      <t>モノ</t>
    </rPh>
    <rPh sb="7" eb="9">
      <t>コユウ</t>
    </rPh>
    <rPh sb="9" eb="11">
      <t>シュウキ</t>
    </rPh>
    <rPh sb="12" eb="13">
      <t>ヒ</t>
    </rPh>
    <phoneticPr fontId="23"/>
  </si>
  <si>
    <t>Teg</t>
    <phoneticPr fontId="23"/>
  </si>
  <si>
    <t>( Tg / αg )</t>
    <phoneticPr fontId="23"/>
  </si>
  <si>
    <t>Tg</t>
    <phoneticPr fontId="23"/>
  </si>
  <si>
    <t>αg</t>
    <phoneticPr fontId="23"/>
  </si>
  <si>
    <t>上限値</t>
    <rPh sb="0" eb="3">
      <t>ジョウゲンチ</t>
    </rPh>
    <phoneticPr fontId="23"/>
  </si>
  <si>
    <t>νu</t>
  </si>
  <si>
    <t>下限値</t>
    <rPh sb="0" eb="3">
      <t>カゲンチ</t>
    </rPh>
    <phoneticPr fontId="23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</si>
  <si>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3"/>
  </si>
  <si>
    <r>
      <t>f</t>
    </r>
    <r>
      <rPr>
        <vertAlign val="subscript"/>
        <sz val="10"/>
        <rFont val="ＭＳ 明朝"/>
        <family val="1"/>
        <charset val="128"/>
      </rPr>
      <t>(z)</t>
    </r>
    <phoneticPr fontId="23"/>
  </si>
  <si>
    <t>(m)</t>
    <phoneticPr fontId="23"/>
  </si>
  <si>
    <t>α+</t>
    <phoneticPr fontId="23"/>
  </si>
  <si>
    <t>L1地震動</t>
    <phoneticPr fontId="2"/>
  </si>
  <si>
    <t>L2地震動</t>
    <phoneticPr fontId="2"/>
  </si>
  <si>
    <t>(1) 表層地盤の水平変位量</t>
    <rPh sb="4" eb="6">
      <t>ヒョウソウ</t>
    </rPh>
    <rPh sb="6" eb="8">
      <t>ジバン</t>
    </rPh>
    <rPh sb="9" eb="11">
      <t>スイヘイ</t>
    </rPh>
    <rPh sb="11" eb="13">
      <t>ヘングライ</t>
    </rPh>
    <rPh sb="13" eb="14">
      <t>リョウ</t>
    </rPh>
    <phoneticPr fontId="23"/>
  </si>
  <si>
    <t>(2) 応答変位法に用いる慣性力の算定</t>
    <rPh sb="4" eb="6">
      <t>オウトウ</t>
    </rPh>
    <rPh sb="6" eb="8">
      <t>ヘンイ</t>
    </rPh>
    <rPh sb="8" eb="9">
      <t>ホウ</t>
    </rPh>
    <rPh sb="10" eb="11">
      <t>モチ</t>
    </rPh>
    <rPh sb="13" eb="15">
      <t>カンセイ</t>
    </rPh>
    <rPh sb="15" eb="16">
      <t>リョク</t>
    </rPh>
    <rPh sb="17" eb="19">
      <t>サンテイ</t>
    </rPh>
    <phoneticPr fontId="23"/>
  </si>
  <si>
    <t xml:space="preserve">　応答変位法に用いる慣性力は、慣性力設計での荷重変位曲線より算出した </t>
    <rPh sb="1" eb="3">
      <t>オウトウ</t>
    </rPh>
    <rPh sb="3" eb="5">
      <t>ヘンイ</t>
    </rPh>
    <rPh sb="5" eb="6">
      <t>ホウ</t>
    </rPh>
    <rPh sb="7" eb="8">
      <t>モチ</t>
    </rPh>
    <rPh sb="10" eb="12">
      <t>カンセイ</t>
    </rPh>
    <rPh sb="12" eb="13">
      <t>リョク</t>
    </rPh>
    <rPh sb="15" eb="17">
      <t>カンセイ</t>
    </rPh>
    <rPh sb="17" eb="18">
      <t>リョク</t>
    </rPh>
    <rPh sb="18" eb="20">
      <t>セッケイ</t>
    </rPh>
    <phoneticPr fontId="23"/>
  </si>
  <si>
    <t>最大応答震度 を用いて算出する。</t>
  </si>
  <si>
    <t>(3) 応答変位法の照査ケース</t>
    <rPh sb="4" eb="6">
      <t>オウトウ</t>
    </rPh>
    <rPh sb="6" eb="8">
      <t>ヘンイ</t>
    </rPh>
    <rPh sb="8" eb="9">
      <t>ホウ</t>
    </rPh>
    <rPh sb="10" eb="12">
      <t>ショウサ</t>
    </rPh>
    <phoneticPr fontId="23"/>
  </si>
  <si>
    <t>(4) 地表面地盤と構造物の固有周期比</t>
    <rPh sb="4" eb="7">
      <t>チヒョウメン</t>
    </rPh>
    <rPh sb="7" eb="9">
      <t>ジバン</t>
    </rPh>
    <rPh sb="10" eb="13">
      <t>コウゾウブツ</t>
    </rPh>
    <rPh sb="14" eb="16">
      <t>コユウ</t>
    </rPh>
    <rPh sb="16" eb="18">
      <t>シュウキ</t>
    </rPh>
    <rPh sb="18" eb="19">
      <t>ヒ</t>
    </rPh>
    <phoneticPr fontId="23"/>
  </si>
  <si>
    <t xml:space="preserve">低減係数 </t>
    <phoneticPr fontId="23"/>
  </si>
  <si>
    <t>αg</t>
    <phoneticPr fontId="2"/>
  </si>
  <si>
    <t>構造物の等価固有周期(sec)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</si>
  <si>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表層地盤の固有周期(sec)</t>
    <rPh sb="0" eb="1">
      <t>ヒョウ</t>
    </rPh>
    <rPh sb="1" eb="2">
      <t>ソウ</t>
    </rPh>
    <rPh sb="2" eb="4">
      <t>ジバン</t>
    </rPh>
    <rPh sb="5" eb="7">
      <t>コユウ</t>
    </rPh>
    <rPh sb="7" eb="9">
      <t>シュウキ</t>
    </rPh>
    <phoneticPr fontId="23"/>
  </si>
  <si>
    <t>地震時のひずみレベルによる地盤の剛性低減係数</t>
    <rPh sb="0" eb="2">
      <t>ジシン</t>
    </rPh>
    <rPh sb="2" eb="3">
      <t>ジ</t>
    </rPh>
    <rPh sb="13" eb="15">
      <t>ジバン</t>
    </rPh>
    <rPh sb="16" eb="18">
      <t>ゴウセイ</t>
    </rPh>
    <rPh sb="18" eb="20">
      <t>テイゲン</t>
    </rPh>
    <rPh sb="20" eb="22">
      <t>ケイスウ</t>
    </rPh>
    <phoneticPr fontId="23"/>
  </si>
  <si>
    <t>:</t>
    <phoneticPr fontId="2"/>
  </si>
  <si>
    <t>L1地震動の有無</t>
    <rPh sb="2" eb="4">
      <t>ジシン</t>
    </rPh>
    <rPh sb="4" eb="5">
      <t>ドウ</t>
    </rPh>
    <rPh sb="6" eb="8">
      <t>ウム</t>
    </rPh>
    <phoneticPr fontId="2"/>
  </si>
  <si>
    <t>L2地震動の有無</t>
    <rPh sb="2" eb="4">
      <t>ジシン</t>
    </rPh>
    <rPh sb="4" eb="5">
      <t>ドウ</t>
    </rPh>
    <rPh sb="6" eb="8">
      <t>ウム</t>
    </rPh>
    <phoneticPr fontId="2"/>
  </si>
  <si>
    <t>構造物の等価固有周期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</si>
  <si>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Teq =</t>
    <phoneticPr fontId="23"/>
  </si>
  <si>
    <t>νu</t>
    <phoneticPr fontId="2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</si>
  <si>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"/>
  </si>
  <si>
    <t>■</t>
  </si>
  <si>
    <t>■</t>
    <phoneticPr fontId="2"/>
  </si>
  <si>
    <t>せん断波速度</t>
    <rPh sb="2" eb="3">
      <t>ダン</t>
    </rPh>
    <rPh sb="3" eb="4">
      <t>ハ</t>
    </rPh>
    <rPh sb="4" eb="6">
      <t>ソクド</t>
    </rPh>
    <phoneticPr fontId="2"/>
  </si>
  <si>
    <t>単位体積重量</t>
    <rPh sb="0" eb="2">
      <t>タンイ</t>
    </rPh>
    <rPh sb="2" eb="4">
      <t>タイセキ</t>
    </rPh>
    <rPh sb="4" eb="6">
      <t>ジュウリョウ</t>
    </rPh>
    <phoneticPr fontId="2"/>
  </si>
  <si>
    <t>深さ</t>
    <rPh sb="0" eb="1">
      <t>フカ</t>
    </rPh>
    <phoneticPr fontId="2"/>
  </si>
  <si>
    <t>z</t>
    <phoneticPr fontId="2"/>
  </si>
  <si>
    <t>γ</t>
    <phoneticPr fontId="2"/>
  </si>
  <si>
    <r>
      <t>V</t>
    </r>
    <r>
      <rPr>
        <vertAlign val="subscript"/>
        <sz val="10"/>
        <rFont val="ＭＳ 明朝"/>
        <family val="1"/>
        <charset val="128"/>
      </rPr>
      <t>sod</t>
    </r>
    <phoneticPr fontId="2"/>
  </si>
  <si>
    <t>×</t>
  </si>
  <si>
    <t>出力バージョン</t>
    <rPh sb="0" eb="2">
      <t>シュツリョク</t>
    </rPh>
    <phoneticPr fontId="2"/>
  </si>
  <si>
    <t>Ver.5.1.2</t>
    <phoneticPr fontId="2"/>
  </si>
  <si>
    <t>ρm=1.0</t>
    <phoneticPr fontId="2"/>
  </si>
  <si>
    <t>ρm=1.2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</si>
</sst>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"/>
    <numFmt numFmtId="177" formatCode="0.000"/>
    <numFmt numFmtId="178" formatCode="0.0000"/>
    <numFmt numFmtId="179" formatCode="0.000_);[Red]\(0.000\)"/>
    <numFmt numFmtId="180" formatCode="0.000_ "/>
    <numFmt numFmtId="181" formatCode="0.00_ "/>
    <numFmt numFmtId="182" formatCode="0.0000_ "/>
    <numFmt numFmtId="183" formatCode="0.0_);[Red]\(0.0\)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color indexed="8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color indexed="18"/>
      <name val="ＭＳ 明朝"/>
      <family val="1"/>
      <charset val="128"/>
    </font>
    <font>
      <sz val="11"/>
      <name val="ＭＳ 明朝"/>
      <family val="1"/>
      <charset val="128"/>
    </font>
    <font>
      <sz val="10"/>
      <color rgb="FF0070C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9">
    <xf numFmtId="0" fontId="0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26" fillId="0" borderId="0"/>
  </cellStyleXfs>
  <cellXfs count="173">
    <xf numFmtId="0" fontId="0" fillId="0" borderId="0" xfId="0"/>
    <xf numFmtId="0" fontId="9" fillId="0" borderId="0" xfId="0" applyFont="1" applyFill="1" applyAlignment="1">
      <alignment horizontal="centerContinuous"/>
    </xf>
    <xf numFmtId="0" fontId="10" fillId="0" borderId="0" xfId="0" applyFont="1" applyFill="1" applyAlignment="1">
      <alignment horizontal="centerContinuous"/>
    </xf>
    <xf numFmtId="0" fontId="10" fillId="0" borderId="0" xfId="0" applyFont="1" applyFill="1"/>
    <xf numFmtId="0" fontId="4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2" fillId="0" borderId="0" xfId="1" applyFont="1" applyFill="1" applyBorder="1">
      <alignment vertical="center"/>
    </xf>
    <xf numFmtId="0" fontId="12" fillId="0" borderId="0" xfId="1" applyFont="1" applyFill="1">
      <alignment vertical="center"/>
    </xf>
    <xf numFmtId="0" fontId="14" fillId="0" borderId="0" xfId="2" applyFill="1" applyAlignment="1" applyProtection="1">
      <alignment vertical="center"/>
    </xf>
    <xf numFmtId="0" fontId="8" fillId="0" borderId="0" xfId="1" applyFont="1" applyFill="1" applyBorder="1">
      <alignment vertical="center"/>
    </xf>
    <xf numFmtId="0" fontId="15" fillId="0" borderId="0" xfId="0" applyFont="1" applyFill="1"/>
    <xf numFmtId="0" fontId="8" fillId="0" borderId="0" xfId="1" applyFont="1" applyFill="1">
      <alignment vertical="center"/>
    </xf>
    <xf numFmtId="0" fontId="12" fillId="0" borderId="0" xfId="1" applyFont="1" applyFill="1" applyAlignment="1">
      <alignment horizontal="left" vertical="center" indent="1"/>
    </xf>
    <xf numFmtId="0" fontId="12" fillId="0" borderId="0" xfId="1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/>
    <xf numFmtId="0" fontId="0" fillId="0" borderId="0" xfId="0" applyFont="1"/>
    <xf numFmtId="0" fontId="20" fillId="0" borderId="0" xfId="0" applyNumberFormat="1" applyFont="1" applyBorder="1" applyAlignment="1" applyProtection="1">
      <alignment horizontal="left" indent="1"/>
      <protection locked="0"/>
    </xf>
    <xf numFmtId="0" fontId="7" fillId="0" borderId="0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4" fillId="0" borderId="0" xfId="7" applyFont="1" applyFill="1" applyBorder="1" applyAlignment="1" applyProtection="1">
      <alignment horizontal="right" vertical="center"/>
      <protection locked="0"/>
    </xf>
    <xf numFmtId="177" fontId="24" fillId="0" borderId="0" xfId="5" applyNumberFormat="1" applyFont="1" applyFill="1" applyBorder="1" applyAlignment="1" applyProtection="1">
      <alignment vertical="center"/>
      <protection locked="0"/>
    </xf>
    <xf numFmtId="0" fontId="4" fillId="0" borderId="0" xfId="5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" fillId="0" borderId="0" xfId="5" quotePrefix="1" applyFont="1" applyFill="1" applyBorder="1" applyAlignment="1" applyProtection="1">
      <alignment vertical="center"/>
      <protection locked="0"/>
    </xf>
    <xf numFmtId="0" fontId="4" fillId="0" borderId="7" xfId="6" applyFont="1" applyFill="1" applyBorder="1" applyAlignment="1" applyProtection="1">
      <alignment horizontal="center" vertical="center"/>
      <protection locked="0"/>
    </xf>
    <xf numFmtId="0" fontId="4" fillId="0" borderId="32" xfId="6" applyFont="1" applyFill="1" applyBorder="1" applyAlignment="1" applyProtection="1">
      <alignment horizontal="center" vertical="center"/>
      <protection locked="0"/>
    </xf>
    <xf numFmtId="0" fontId="4" fillId="0" borderId="31" xfId="6" applyFont="1" applyFill="1" applyBorder="1" applyAlignment="1" applyProtection="1">
      <alignment horizontal="center" vertical="center"/>
      <protection locked="0"/>
    </xf>
    <xf numFmtId="0" fontId="4" fillId="0" borderId="33" xfId="6" applyFont="1" applyFill="1" applyBorder="1" applyAlignment="1" applyProtection="1">
      <alignment horizontal="center" vertical="center"/>
      <protection locked="0"/>
    </xf>
    <xf numFmtId="0" fontId="4" fillId="0" borderId="13" xfId="6" applyFont="1" applyFill="1" applyBorder="1" applyAlignment="1" applyProtection="1">
      <alignment horizontal="center" vertical="center"/>
      <protection locked="0"/>
    </xf>
    <xf numFmtId="0" fontId="4" fillId="0" borderId="14" xfId="6" applyFont="1" applyFill="1" applyBorder="1" applyAlignment="1" applyProtection="1">
      <alignment horizontal="center" vertical="center"/>
      <protection locked="0"/>
    </xf>
    <xf numFmtId="0" fontId="4" fillId="0" borderId="27" xfId="6" applyFont="1" applyFill="1" applyBorder="1" applyAlignment="1" applyProtection="1">
      <alignment horizontal="center" vertical="center"/>
      <protection locked="0"/>
    </xf>
    <xf numFmtId="0" fontId="4" fillId="0" borderId="22" xfId="6" applyFont="1" applyFill="1" applyBorder="1" applyAlignment="1" applyProtection="1">
      <alignment horizontal="center" vertical="center"/>
      <protection locked="0"/>
    </xf>
    <xf numFmtId="0" fontId="4" fillId="0" borderId="29" xfId="6" applyFont="1" applyFill="1" applyBorder="1" applyAlignment="1" applyProtection="1">
      <alignment horizontal="center" vertical="center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21" fillId="0" borderId="7" xfId="0" applyFont="1" applyFill="1" applyBorder="1" applyAlignment="1" applyProtection="1">
      <alignment horizontal="center"/>
      <protection locked="0"/>
    </xf>
    <xf numFmtId="0" fontId="21" fillId="0" borderId="10" xfId="0" applyFont="1" applyFill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/>
      <protection locked="0"/>
    </xf>
    <xf numFmtId="179" fontId="18" fillId="0" borderId="8" xfId="6" applyNumberFormat="1" applyFont="1" applyFill="1" applyBorder="1" applyAlignment="1" applyProtection="1">
      <protection locked="0"/>
    </xf>
    <xf numFmtId="176" fontId="18" fillId="0" borderId="8" xfId="6" applyNumberFormat="1" applyFont="1" applyFill="1" applyBorder="1" applyAlignment="1" applyProtection="1">
      <alignment horizontal="center"/>
      <protection locked="0"/>
    </xf>
    <xf numFmtId="176" fontId="18" fillId="0" borderId="9" xfId="6" applyNumberFormat="1" applyFont="1" applyFill="1" applyBorder="1" applyAlignment="1" applyProtection="1">
      <alignment horizontal="center"/>
      <protection locked="0"/>
    </xf>
    <xf numFmtId="179" fontId="18" fillId="0" borderId="11" xfId="6" applyNumberFormat="1" applyFont="1" applyFill="1" applyBorder="1" applyAlignment="1" applyProtection="1">
      <protection locked="0"/>
    </xf>
    <xf numFmtId="176" fontId="18" fillId="0" borderId="11" xfId="6" applyNumberFormat="1" applyFont="1" applyFill="1" applyBorder="1" applyAlignment="1" applyProtection="1">
      <alignment horizontal="center"/>
      <protection locked="0"/>
    </xf>
    <xf numFmtId="176" fontId="18" fillId="0" borderId="12" xfId="6" applyNumberFormat="1" applyFont="1" applyFill="1" applyBorder="1" applyAlignment="1" applyProtection="1">
      <alignment horizontal="center"/>
      <protection locked="0"/>
    </xf>
    <xf numFmtId="179" fontId="4" fillId="0" borderId="15" xfId="6" applyNumberFormat="1" applyFont="1" applyFill="1" applyBorder="1" applyAlignment="1" applyProtection="1">
      <alignment horizontal="centerContinuous"/>
      <protection locked="0"/>
    </xf>
    <xf numFmtId="0" fontId="20" fillId="0" borderId="0" xfId="0" applyNumberFormat="1" applyFont="1" applyBorder="1" applyAlignment="1">
      <alignment horizontal="left"/>
    </xf>
    <xf numFmtId="0" fontId="7" fillId="0" borderId="8" xfId="0" applyNumberFormat="1" applyFont="1" applyBorder="1" applyAlignment="1" applyProtection="1">
      <alignment horizontal="center"/>
      <protection locked="0"/>
    </xf>
    <xf numFmtId="0" fontId="7" fillId="0" borderId="18" xfId="0" applyNumberFormat="1" applyFont="1" applyBorder="1" applyAlignment="1" applyProtection="1">
      <alignment horizontal="center"/>
      <protection locked="0"/>
    </xf>
    <xf numFmtId="0" fontId="7" fillId="0" borderId="11" xfId="0" applyNumberFormat="1" applyFont="1" applyBorder="1" applyAlignment="1" applyProtection="1">
      <alignment horizontal="center"/>
      <protection locked="0"/>
    </xf>
    <xf numFmtId="0" fontId="7" fillId="0" borderId="19" xfId="0" applyNumberFormat="1" applyFont="1" applyBorder="1" applyAlignment="1" applyProtection="1">
      <alignment horizontal="center"/>
      <protection locked="0"/>
    </xf>
    <xf numFmtId="0" fontId="4" fillId="0" borderId="11" xfId="6" applyFont="1" applyFill="1" applyBorder="1" applyAlignment="1" applyProtection="1">
      <alignment horizontal="center" vertical="center"/>
      <protection locked="0"/>
    </xf>
    <xf numFmtId="0" fontId="4" fillId="0" borderId="10" xfId="6" applyFont="1" applyFill="1" applyBorder="1" applyAlignment="1" applyProtection="1">
      <alignment horizontal="center" vertical="center"/>
      <protection locked="0"/>
    </xf>
    <xf numFmtId="0" fontId="4" fillId="0" borderId="19" xfId="6" applyFont="1" applyFill="1" applyBorder="1" applyAlignment="1" applyProtection="1">
      <alignment horizontal="center" vertical="center"/>
      <protection locked="0"/>
    </xf>
    <xf numFmtId="0" fontId="7" fillId="0" borderId="7" xfId="0" applyNumberFormat="1" applyFont="1" applyBorder="1" applyAlignment="1" applyProtection="1">
      <alignment horizontal="center"/>
      <protection locked="0"/>
    </xf>
    <xf numFmtId="0" fontId="7" fillId="0" borderId="10" xfId="0" applyNumberFormat="1" applyFont="1" applyBorder="1" applyAlignment="1" applyProtection="1">
      <alignment horizontal="center"/>
      <protection locked="0"/>
    </xf>
    <xf numFmtId="0" fontId="21" fillId="0" borderId="9" xfId="0" applyNumberFormat="1" applyFont="1" applyBorder="1" applyAlignment="1" applyProtection="1">
      <alignment horizontal="center"/>
      <protection locked="0"/>
    </xf>
    <xf numFmtId="0" fontId="21" fillId="0" borderId="12" xfId="0" applyNumberFormat="1" applyFont="1" applyBorder="1" applyAlignment="1" applyProtection="1">
      <alignment horizontal="center"/>
      <protection locked="0"/>
    </xf>
    <xf numFmtId="0" fontId="21" fillId="0" borderId="6" xfId="0" applyNumberFormat="1" applyFont="1" applyBorder="1" applyAlignment="1" applyProtection="1">
      <alignment horizontal="center"/>
      <protection locked="0"/>
    </xf>
    <xf numFmtId="178" fontId="25" fillId="2" borderId="0" xfId="5" applyNumberFormat="1" applyFont="1" applyFill="1" applyBorder="1" applyAlignment="1" applyProtection="1">
      <alignment vertical="center"/>
    </xf>
    <xf numFmtId="0" fontId="7" fillId="0" borderId="25" xfId="0" applyNumberFormat="1" applyFont="1" applyBorder="1" applyAlignment="1" applyProtection="1">
      <alignment horizontal="center"/>
      <protection locked="0"/>
    </xf>
    <xf numFmtId="0" fontId="7" fillId="0" borderId="21" xfId="0" applyNumberFormat="1" applyFont="1" applyBorder="1" applyAlignment="1" applyProtection="1">
      <alignment horizontal="center"/>
      <protection locked="0"/>
    </xf>
    <xf numFmtId="0" fontId="7" fillId="0" borderId="26" xfId="0" applyNumberFormat="1" applyFont="1" applyBorder="1" applyAlignment="1" applyProtection="1">
      <alignment horizontal="center"/>
      <protection locked="0"/>
    </xf>
    <xf numFmtId="0" fontId="7" fillId="0" borderId="24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alignment horizontal="left"/>
      <protection locked="0"/>
    </xf>
    <xf numFmtId="0" fontId="4" fillId="0" borderId="0" xfId="8" quotePrefix="1" applyFont="1"/>
    <xf numFmtId="0" fontId="4" fillId="0" borderId="0" xfId="8" applyFont="1" applyAlignment="1">
      <alignment horizontal="left"/>
    </xf>
    <xf numFmtId="181" fontId="25" fillId="2" borderId="20" xfId="0" applyNumberFormat="1" applyFont="1" applyFill="1" applyBorder="1" applyAlignment="1" applyProtection="1"/>
    <xf numFmtId="181" fontId="25" fillId="2" borderId="15" xfId="0" applyNumberFormat="1" applyFont="1" applyFill="1" applyBorder="1" applyAlignment="1" applyProtection="1"/>
    <xf numFmtId="181" fontId="25" fillId="2" borderId="23" xfId="0" applyNumberFormat="1" applyFont="1" applyFill="1" applyBorder="1" applyAlignment="1" applyProtection="1"/>
    <xf numFmtId="181" fontId="25" fillId="2" borderId="7" xfId="0" applyNumberFormat="1" applyFont="1" applyFill="1" applyBorder="1" applyAlignment="1" applyProtection="1"/>
    <xf numFmtId="181" fontId="25" fillId="2" borderId="8" xfId="0" applyNumberFormat="1" applyFont="1" applyFill="1" applyBorder="1" applyAlignment="1" applyProtection="1"/>
    <xf numFmtId="181" fontId="25" fillId="2" borderId="18" xfId="0" applyNumberFormat="1" applyFont="1" applyFill="1" applyBorder="1" applyAlignment="1" applyProtection="1"/>
    <xf numFmtId="181" fontId="25" fillId="2" borderId="10" xfId="0" applyNumberFormat="1" applyFont="1" applyFill="1" applyBorder="1" applyAlignment="1" applyProtection="1"/>
    <xf numFmtId="181" fontId="25" fillId="2" borderId="11" xfId="0" applyNumberFormat="1" applyFont="1" applyFill="1" applyBorder="1" applyAlignment="1" applyProtection="1"/>
    <xf numFmtId="181" fontId="25" fillId="2" borderId="19" xfId="0" applyNumberFormat="1" applyFont="1" applyFill="1" applyBorder="1" applyAlignment="1" applyProtection="1"/>
    <xf numFmtId="0" fontId="4" fillId="0" borderId="47" xfId="8" applyFont="1" applyBorder="1"/>
    <xf numFmtId="0" fontId="4" fillId="0" borderId="0" xfId="8" applyFont="1" applyBorder="1" applyAlignment="1">
      <alignment horizontal="center"/>
    </xf>
    <xf numFmtId="180" fontId="4" fillId="0" borderId="0" xfId="8" applyNumberFormat="1" applyFont="1" applyBorder="1" applyAlignment="1">
      <alignment horizont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22" fillId="0" borderId="10" xfId="4" applyFont="1" applyBorder="1" applyAlignment="1">
      <alignment horizontal="center" vertical="center"/>
    </xf>
    <xf numFmtId="0" fontId="4" fillId="0" borderId="0" xfId="8" applyFont="1"/>
    <xf numFmtId="0" fontId="4" fillId="0" borderId="0" xfId="8" applyFont="1" applyAlignment="1">
      <alignment horizontal="right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applyNumberFormat="1" applyFont="1" applyAlignment="1"/>
    <xf numFmtId="0" fontId="21" fillId="0" borderId="41" xfId="0" applyNumberFormat="1" applyFont="1" applyBorder="1" applyAlignment="1" applyProtection="1">
      <alignment horizontal="left" indent="1"/>
      <protection locked="0"/>
    </xf>
    <xf numFmtId="0" fontId="21" fillId="0" borderId="42" xfId="0" applyNumberFormat="1" applyFont="1" applyBorder="1" applyAlignment="1" applyProtection="1">
      <alignment horizontal="left" indent="1"/>
      <protection locked="0"/>
    </xf>
    <xf numFmtId="0" fontId="21" fillId="0" borderId="43" xfId="0" applyNumberFormat="1" applyFont="1" applyBorder="1" applyAlignment="1" applyProtection="1">
      <alignment horizontal="left" indent="1"/>
      <protection locked="0"/>
    </xf>
    <xf numFmtId="0" fontId="4" fillId="0" borderId="0" xfId="8" applyFont="1" applyBorder="1"/>
    <xf numFmtId="0" fontId="4" fillId="0" borderId="0" xfId="6" applyFont="1" applyFill="1" applyBorder="1" applyAlignment="1" applyProtection="1">
      <alignment horizontal="centerContinuous" vertical="center"/>
      <protection locked="0"/>
    </xf>
    <xf numFmtId="0" fontId="4" fillId="0" borderId="0" xfId="6" applyFont="1" applyFill="1" applyBorder="1" applyAlignment="1" applyProtection="1">
      <alignment horizontal="centerContinuous" vertical="top"/>
      <protection locked="0"/>
    </xf>
    <xf numFmtId="0" fontId="7" fillId="0" borderId="20" xfId="0" applyNumberFormat="1" applyFont="1" applyFill="1" applyBorder="1" applyAlignment="1" applyProtection="1">
      <alignment horizontal="center"/>
      <protection locked="0"/>
    </xf>
    <xf numFmtId="0" fontId="4" fillId="0" borderId="38" xfId="8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1" xfId="1" applyFont="1" applyFill="1" applyBorder="1" applyAlignment="1">
      <alignment horizontal="left" vertical="center"/>
    </xf>
    <xf numFmtId="0" fontId="8" fillId="0" borderId="2" xfId="1" applyFont="1" applyFill="1" applyBorder="1" applyAlignment="1">
      <alignment horizontal="left" vertical="center"/>
    </xf>
    <xf numFmtId="0" fontId="8" fillId="0" borderId="3" xfId="1" applyFont="1" applyFill="1" applyBorder="1" applyAlignment="1">
      <alignment horizontal="left" vertical="center"/>
    </xf>
    <xf numFmtId="0" fontId="4" fillId="0" borderId="4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/>
      <protection locked="0"/>
    </xf>
    <xf numFmtId="0" fontId="4" fillId="0" borderId="17" xfId="6" applyFont="1" applyFill="1" applyBorder="1" applyAlignment="1" applyProtection="1">
      <alignment horizontal="center" vertical="center"/>
      <protection locked="0"/>
    </xf>
    <xf numFmtId="0" fontId="4" fillId="0" borderId="8" xfId="6" applyFont="1" applyFill="1" applyBorder="1" applyAlignment="1" applyProtection="1">
      <alignment horizontal="center" vertical="center"/>
      <protection locked="0"/>
    </xf>
    <xf numFmtId="0" fontId="4" fillId="0" borderId="18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 wrapText="1"/>
      <protection locked="0"/>
    </xf>
    <xf numFmtId="0" fontId="4" fillId="0" borderId="8" xfId="6" applyFont="1" applyFill="1" applyBorder="1" applyAlignment="1" applyProtection="1">
      <alignment horizontal="center" vertical="center" wrapText="1"/>
      <protection locked="0"/>
    </xf>
    <xf numFmtId="0" fontId="4" fillId="0" borderId="31" xfId="6" applyFont="1" applyFill="1" applyBorder="1" applyAlignment="1" applyProtection="1">
      <alignment horizontal="center" vertical="center"/>
      <protection locked="0"/>
    </xf>
    <xf numFmtId="0" fontId="4" fillId="0" borderId="6" xfId="6" applyFont="1" applyFill="1" applyBorder="1" applyAlignment="1" applyProtection="1">
      <alignment horizontal="center" vertical="center" wrapText="1"/>
      <protection locked="0"/>
    </xf>
    <xf numFmtId="0" fontId="4" fillId="0" borderId="9" xfId="6" applyFont="1" applyFill="1" applyBorder="1" applyAlignment="1" applyProtection="1">
      <alignment horizontal="center" vertical="center" wrapText="1"/>
      <protection locked="0"/>
    </xf>
    <xf numFmtId="0" fontId="4" fillId="0" borderId="30" xfId="6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10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8" xfId="0" applyFont="1" applyFill="1" applyBorder="1" applyAlignment="1" applyProtection="1">
      <alignment horizontal="center" vertical="center" wrapText="1"/>
      <protection locked="0"/>
    </xf>
    <xf numFmtId="0" fontId="7" fillId="0" borderId="31" xfId="0" applyFont="1" applyFill="1" applyBorder="1" applyAlignment="1" applyProtection="1">
      <alignment horizontal="center" vertical="center" wrapText="1"/>
      <protection locked="0"/>
    </xf>
    <xf numFmtId="0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7" fillId="0" borderId="40" xfId="0" applyNumberFormat="1" applyFont="1" applyBorder="1" applyAlignment="1" applyProtection="1">
      <alignment horizontal="left" vertical="center" wrapText="1" indent="1"/>
      <protection locked="0"/>
    </xf>
    <xf numFmtId="0" fontId="7" fillId="0" borderId="39" xfId="0" applyNumberFormat="1" applyFont="1" applyBorder="1" applyAlignment="1" applyProtection="1">
      <alignment horizontal="left" vertical="center" wrapText="1" indent="1"/>
      <protection locked="0"/>
    </xf>
    <xf numFmtId="0" fontId="7" fillId="0" borderId="47" xfId="0" applyNumberFormat="1" applyFont="1" applyBorder="1" applyAlignment="1">
      <alignment horizont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22" fillId="0" borderId="10" xfId="4" applyFont="1" applyBorder="1" applyAlignment="1">
      <alignment horizontal="center" vertical="center"/>
    </xf>
    <xf numFmtId="0" fontId="7" fillId="0" borderId="17" xfId="0" applyNumberFormat="1" applyFont="1" applyBorder="1" applyAlignment="1" applyProtection="1">
      <alignment horizontal="center" wrapText="1"/>
      <protection locked="0"/>
    </xf>
    <xf numFmtId="0" fontId="7" fillId="0" borderId="33" xfId="0" applyNumberFormat="1" applyFont="1" applyBorder="1" applyAlignment="1" applyProtection="1">
      <alignment horizontal="center" wrapText="1"/>
      <protection locked="0"/>
    </xf>
    <xf numFmtId="180" fontId="4" fillId="3" borderId="42" xfId="8" applyNumberFormat="1" applyFont="1" applyFill="1" applyBorder="1" applyAlignment="1">
      <alignment horizontal="center" vertical="center"/>
    </xf>
    <xf numFmtId="180" fontId="4" fillId="3" borderId="45" xfId="8" applyNumberFormat="1" applyFont="1" applyFill="1" applyBorder="1" applyAlignment="1">
      <alignment horizontal="center" vertical="center"/>
    </xf>
    <xf numFmtId="0" fontId="4" fillId="0" borderId="12" xfId="8" applyFont="1" applyBorder="1" applyAlignment="1">
      <alignment horizontal="center" vertical="center"/>
    </xf>
    <xf numFmtId="0" fontId="4" fillId="0" borderId="46" xfId="8" applyFont="1" applyBorder="1" applyAlignment="1">
      <alignment horizontal="center" vertical="center"/>
    </xf>
    <xf numFmtId="180" fontId="4" fillId="3" borderId="43" xfId="8" applyNumberFormat="1" applyFont="1" applyFill="1" applyBorder="1" applyAlignment="1">
      <alignment horizontal="center" vertical="center"/>
    </xf>
    <xf numFmtId="180" fontId="4" fillId="3" borderId="46" xfId="8" applyNumberFormat="1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4" fillId="0" borderId="38" xfId="8" applyFont="1" applyBorder="1" applyAlignment="1">
      <alignment horizontal="center" vertical="center"/>
    </xf>
    <xf numFmtId="0" fontId="4" fillId="0" borderId="16" xfId="8" applyFont="1" applyBorder="1" applyAlignment="1">
      <alignment horizontal="center" vertical="center"/>
    </xf>
    <xf numFmtId="0" fontId="4" fillId="0" borderId="34" xfId="8" applyFont="1" applyBorder="1" applyAlignment="1">
      <alignment horizontal="center" vertical="center"/>
    </xf>
    <xf numFmtId="2" fontId="27" fillId="0" borderId="48" xfId="8" applyNumberFormat="1" applyFont="1" applyBorder="1" applyAlignment="1">
      <alignment horizontal="center" vertical="center"/>
    </xf>
    <xf numFmtId="2" fontId="27" fillId="0" borderId="34" xfId="8" applyNumberFormat="1" applyFont="1" applyBorder="1" applyAlignment="1">
      <alignment horizontal="center" vertical="center"/>
    </xf>
    <xf numFmtId="0" fontId="4" fillId="0" borderId="9" xfId="8" applyFont="1" applyBorder="1" applyAlignment="1">
      <alignment horizontal="center" vertical="center"/>
    </xf>
    <xf numFmtId="0" fontId="4" fillId="0" borderId="45" xfId="8" applyFont="1" applyBorder="1" applyAlignment="1">
      <alignment horizontal="center" vertical="center"/>
    </xf>
    <xf numFmtId="180" fontId="4" fillId="0" borderId="42" xfId="8" applyNumberFormat="1" applyFont="1" applyBorder="1" applyAlignment="1">
      <alignment horizontal="center" vertical="center"/>
    </xf>
    <xf numFmtId="180" fontId="4" fillId="0" borderId="45" xfId="8" applyNumberFormat="1" applyFont="1" applyBorder="1" applyAlignment="1">
      <alignment horizontal="center" vertical="center"/>
    </xf>
    <xf numFmtId="2" fontId="27" fillId="0" borderId="41" xfId="8" applyNumberFormat="1" applyFont="1" applyBorder="1" applyAlignment="1">
      <alignment horizontal="center" vertical="center"/>
    </xf>
    <xf numFmtId="2" fontId="27" fillId="0" borderId="44" xfId="8" applyNumberFormat="1" applyFont="1" applyBorder="1" applyAlignment="1">
      <alignment horizontal="center" vertical="center"/>
    </xf>
    <xf numFmtId="0" fontId="4" fillId="0" borderId="0" xfId="8" applyFont="1" applyAlignment="1">
      <alignment horizontal="right"/>
    </xf>
    <xf numFmtId="0" fontId="4" fillId="0" borderId="0" xfId="8" applyFont="1"/>
    <xf numFmtId="180" fontId="27" fillId="3" borderId="0" xfId="8" applyNumberFormat="1" applyFont="1" applyFill="1" applyBorder="1" applyAlignment="1">
      <alignment horizontal="right" vertical="center"/>
    </xf>
    <xf numFmtId="0" fontId="4" fillId="0" borderId="36" xfId="8" applyFont="1" applyBorder="1" applyAlignment="1">
      <alignment horizontal="center" vertical="center"/>
    </xf>
    <xf numFmtId="0" fontId="4" fillId="0" borderId="6" xfId="8" applyFont="1" applyBorder="1" applyAlignment="1">
      <alignment horizontal="center" vertical="center"/>
    </xf>
    <xf numFmtId="0" fontId="4" fillId="0" borderId="44" xfId="8" applyFont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4" fillId="0" borderId="34" xfId="8" applyFont="1" applyBorder="1" applyAlignment="1">
      <alignment horizontal="center"/>
    </xf>
    <xf numFmtId="0" fontId="4" fillId="0" borderId="35" xfId="8" applyFont="1" applyBorder="1" applyAlignment="1">
      <alignment horizontal="center" vertical="top"/>
    </xf>
    <xf numFmtId="0" fontId="4" fillId="0" borderId="0" xfId="8" applyFont="1" applyAlignment="1">
      <alignment horizontal="distributed" justifyLastLine="1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quotePrefix="1" applyNumberFormat="1" applyFont="1" applyAlignment="1">
      <alignment horizontal="center"/>
    </xf>
    <xf numFmtId="176" fontId="4" fillId="0" borderId="0" xfId="8" applyNumberFormat="1" applyFont="1" applyAlignment="1"/>
    <xf numFmtId="182" fontId="4" fillId="3" borderId="0" xfId="8" applyNumberFormat="1" applyFont="1" applyFill="1" applyAlignment="1">
      <alignment horizontal="right"/>
    </xf>
    <xf numFmtId="181" fontId="4" fillId="3" borderId="0" xfId="0" applyNumberFormat="1" applyFont="1" applyFill="1" applyBorder="1" applyAlignment="1" applyProtection="1">
      <alignment horizontal="center"/>
    </xf>
    <xf numFmtId="0" fontId="7" fillId="3" borderId="0" xfId="0" applyNumberFormat="1" applyFont="1" applyFill="1" applyBorder="1" applyAlignment="1" applyProtection="1">
      <alignment horizontal="center"/>
      <protection locked="0"/>
    </xf>
    <xf numFmtId="179" fontId="4" fillId="3" borderId="0" xfId="6" applyNumberFormat="1" applyFont="1" applyFill="1" applyBorder="1" applyAlignment="1" applyProtection="1">
      <alignment horizontal="center"/>
      <protection locked="0"/>
    </xf>
    <xf numFmtId="183" fontId="4" fillId="3" borderId="0" xfId="6" applyNumberFormat="1" applyFont="1" applyFill="1" applyBorder="1" applyAlignment="1" applyProtection="1">
      <alignment horizontal="center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 wrapText="1"/>
      <protection locked="0"/>
    </xf>
    <xf numFmtId="0" fontId="4" fillId="0" borderId="0" xfId="6" applyFont="1" applyFill="1" applyBorder="1" applyAlignment="1" applyProtection="1">
      <alignment horizontal="center" vertical="top" wrapText="1"/>
      <protection locked="0"/>
    </xf>
  </cellXfs>
  <cellStyles count="9">
    <cellStyle name="ハイパーリンク" xfId="2" builtinId="8"/>
    <cellStyle name="標準" xfId="0" builtinId="0"/>
    <cellStyle name="標準 2" xfId="3"/>
    <cellStyle name="標準 3" xfId="4"/>
    <cellStyle name="標準_600_断面性照査" xfId="1"/>
    <cellStyle name="標準_応答変位の補正値算出" xfId="8"/>
    <cellStyle name="標準_構造計算書20070627(2)" xfId="5"/>
    <cellStyle name="標準_地盤条件の設定_ＣＦＴ門型ラーメン橋脚設計計算書" xfId="6"/>
    <cellStyle name="標準_地盤条件の設定_ＣＦＴ門型ラーメン橋脚設計計算書_土質条件の設定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510261</xdr:colOff>
      <xdr:row>43</xdr:row>
      <xdr:rowOff>113348</xdr:rowOff>
    </xdr:from>
    <xdr:to>
      <xdr:col>6</xdr:col>
      <xdr:colOff>64965</xdr:colOff>
      <xdr:row>52</xdr:row>
      <xdr:rowOff>66676</xdr:rowOff>
    </xdr:to>
    <xdr:pic>
      <xdr:nvPicPr>
        <xdr:cNvPr id="5" name="Picture 4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06" t="10243" r="7265" b="9268"/>
        <a:stretch>
          <a:fillRect/>
        </a:stretch>
      </xdr:blipFill>
      <xdr:spPr bwMode="auto">
        <a:xfrm>
          <a:off x="3605886" y="14953298"/>
          <a:ext cx="1440654" cy="15821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14142</xdr:colOff>
      <xdr:row>40</xdr:row>
      <xdr:rowOff>42609</xdr:rowOff>
    </xdr:from>
    <xdr:to>
      <xdr:col>7</xdr:col>
      <xdr:colOff>829786</xdr:colOff>
      <xdr:row>41</xdr:row>
      <xdr:rowOff>82170</xdr:rowOff>
    </xdr:to>
    <xdr:sp macro="" textlink="">
      <xdr:nvSpPr>
        <xdr:cNvPr id="6" name="Arc 24"/>
        <xdr:cNvSpPr>
          <a:spLocks/>
        </xdr:cNvSpPr>
      </xdr:nvSpPr>
      <xdr:spPr bwMode="auto">
        <a:xfrm>
          <a:off x="3109767" y="14339634"/>
          <a:ext cx="3644569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23683</xdr:colOff>
      <xdr:row>42</xdr:row>
      <xdr:rowOff>102553</xdr:rowOff>
    </xdr:from>
    <xdr:to>
      <xdr:col>7</xdr:col>
      <xdr:colOff>791623</xdr:colOff>
      <xdr:row>43</xdr:row>
      <xdr:rowOff>142114</xdr:rowOff>
    </xdr:to>
    <xdr:sp macro="" textlink="">
      <xdr:nvSpPr>
        <xdr:cNvPr id="7" name="Arc 26"/>
        <xdr:cNvSpPr>
          <a:spLocks/>
        </xdr:cNvSpPr>
      </xdr:nvSpPr>
      <xdr:spPr bwMode="auto">
        <a:xfrm flipH="1">
          <a:off x="3119308" y="14761528"/>
          <a:ext cx="3596865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195416</xdr:colOff>
      <xdr:row>38</xdr:row>
      <xdr:rowOff>30607</xdr:rowOff>
    </xdr:from>
    <xdr:to>
      <xdr:col>5</xdr:col>
      <xdr:colOff>130191</xdr:colOff>
      <xdr:row>39</xdr:row>
      <xdr:rowOff>175641</xdr:rowOff>
    </xdr:to>
    <xdr:sp macro="" textlink="">
      <xdr:nvSpPr>
        <xdr:cNvPr id="8" name="Text Box 30"/>
        <xdr:cNvSpPr txBox="1">
          <a:spLocks noChangeArrowheads="1"/>
        </xdr:cNvSpPr>
      </xdr:nvSpPr>
      <xdr:spPr bwMode="auto">
        <a:xfrm>
          <a:off x="3291041" y="13965682"/>
          <a:ext cx="87775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POST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data: 地盤データ</a:t>
          </a:r>
        </a:p>
      </xdr:txBody>
    </xdr:sp>
    <xdr:clientData/>
  </xdr:twoCellAnchor>
  <xdr:twoCellAnchor>
    <xdr:from>
      <xdr:col>2</xdr:col>
      <xdr:colOff>106429</xdr:colOff>
      <xdr:row>36</xdr:row>
      <xdr:rowOff>85725</xdr:rowOff>
    </xdr:from>
    <xdr:to>
      <xdr:col>2</xdr:col>
      <xdr:colOff>593008</xdr:colOff>
      <xdr:row>37</xdr:row>
      <xdr:rowOff>77343</xdr:rowOff>
    </xdr:to>
    <xdr:sp macro="" textlink="">
      <xdr:nvSpPr>
        <xdr:cNvPr id="9" name="Text Box 32"/>
        <xdr:cNvSpPr txBox="1">
          <a:spLocks noChangeArrowheads="1"/>
        </xdr:cNvSpPr>
      </xdr:nvSpPr>
      <xdr:spPr bwMode="auto">
        <a:xfrm>
          <a:off x="1316104" y="13658850"/>
          <a:ext cx="486579" cy="172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ユーザー</a:t>
          </a:r>
        </a:p>
      </xdr:txBody>
    </xdr:sp>
    <xdr:clientData/>
  </xdr:twoCellAnchor>
  <xdr:twoCellAnchor>
    <xdr:from>
      <xdr:col>7</xdr:col>
      <xdr:colOff>629430</xdr:colOff>
      <xdr:row>38</xdr:row>
      <xdr:rowOff>49784</xdr:rowOff>
    </xdr:from>
    <xdr:to>
      <xdr:col>10</xdr:col>
      <xdr:colOff>147531</xdr:colOff>
      <xdr:row>48</xdr:row>
      <xdr:rowOff>157734</xdr:rowOff>
    </xdr:to>
    <xdr:pic>
      <xdr:nvPicPr>
        <xdr:cNvPr id="10" name="Picture 34" descr="「サーバー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980" y="13984859"/>
          <a:ext cx="2347026" cy="191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196976</xdr:colOff>
      <xdr:row>38</xdr:row>
      <xdr:rowOff>88138</xdr:rowOff>
    </xdr:from>
    <xdr:to>
      <xdr:col>6</xdr:col>
      <xdr:colOff>484759</xdr:colOff>
      <xdr:row>45</xdr:row>
      <xdr:rowOff>58230</xdr:rowOff>
    </xdr:to>
    <xdr:pic>
      <xdr:nvPicPr>
        <xdr:cNvPr id="11" name="Picture 35" descr="「インターネット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5576" y="14023213"/>
          <a:ext cx="1230758" cy="1236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38</xdr:row>
      <xdr:rowOff>97727</xdr:rowOff>
    </xdr:from>
    <xdr:to>
      <xdr:col>3</xdr:col>
      <xdr:colOff>871250</xdr:colOff>
      <xdr:row>48</xdr:row>
      <xdr:rowOff>167323</xdr:rowOff>
    </xdr:to>
    <xdr:pic>
      <xdr:nvPicPr>
        <xdr:cNvPr id="12" name="Picture 43" descr="「excel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4032802"/>
          <a:ext cx="2709575" cy="1879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47444</xdr:colOff>
      <xdr:row>36</xdr:row>
      <xdr:rowOff>85725</xdr:rowOff>
    </xdr:from>
    <xdr:to>
      <xdr:col>10</xdr:col>
      <xdr:colOff>433754</xdr:colOff>
      <xdr:row>38</xdr:row>
      <xdr:rowOff>49784</xdr:rowOff>
    </xdr:to>
    <xdr:sp macro="" textlink="">
      <xdr:nvSpPr>
        <xdr:cNvPr id="13" name="Text Box 45"/>
        <xdr:cNvSpPr txBox="1">
          <a:spLocks noChangeArrowheads="1"/>
        </xdr:cNvSpPr>
      </xdr:nvSpPr>
      <xdr:spPr bwMode="auto">
        <a:xfrm>
          <a:off x="5971994" y="13658850"/>
          <a:ext cx="3215235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18288" bIns="0" anchor="t" upright="1">
          <a:noAutofit/>
        </a:bodyPr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</a:t>
          </a:r>
        </a:p>
        <a:p>
          <a:pPr algn="ctr" rtl="0">
            <a:lnSpc>
              <a:spcPts val="1100"/>
            </a:lnSpc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http://www.structuralengine.com/SoilStructure/api/values/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</xdr:col>
      <xdr:colOff>446596</xdr:colOff>
      <xdr:row>43</xdr:row>
      <xdr:rowOff>94171</xdr:rowOff>
    </xdr:from>
    <xdr:to>
      <xdr:col>7</xdr:col>
      <xdr:colOff>763001</xdr:colOff>
      <xdr:row>45</xdr:row>
      <xdr:rowOff>58230</xdr:rowOff>
    </xdr:to>
    <xdr:sp macro="" textlink="">
      <xdr:nvSpPr>
        <xdr:cNvPr id="14" name="Text Box 48"/>
        <xdr:cNvSpPr txBox="1">
          <a:spLocks noChangeArrowheads="1"/>
        </xdr:cNvSpPr>
      </xdr:nvSpPr>
      <xdr:spPr bwMode="auto">
        <a:xfrm>
          <a:off x="5428171" y="14934121"/>
          <a:ext cx="125938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Response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data: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応答変位量</a:t>
          </a:r>
        </a:p>
      </xdr:txBody>
    </xdr:sp>
    <xdr:clientData/>
  </xdr:twoCellAnchor>
  <xdr:twoCellAnchor>
    <xdr:from>
      <xdr:col>1</xdr:col>
      <xdr:colOff>695325</xdr:colOff>
      <xdr:row>56</xdr:row>
      <xdr:rowOff>13606</xdr:rowOff>
    </xdr:from>
    <xdr:to>
      <xdr:col>6</xdr:col>
      <xdr:colOff>217714</xdr:colOff>
      <xdr:row>89</xdr:row>
      <xdr:rowOff>123263</xdr:rowOff>
    </xdr:to>
    <xdr:sp macro="" textlink="">
      <xdr:nvSpPr>
        <xdr:cNvPr id="15" name="text  box 57"/>
        <xdr:cNvSpPr txBox="1">
          <a:spLocks noChangeArrowheads="1"/>
        </xdr:cNvSpPr>
      </xdr:nvSpPr>
      <xdr:spPr bwMode="auto">
        <a:xfrm>
          <a:off x="962025" y="9910081"/>
          <a:ext cx="4237264" cy="60818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r>
            <a:rPr lang="en-US" altLang="ja-JP"/>
            <a:t>{"D1":1,"SK":1,"SpType":3,"datas":[{"HD":1.9,"RS":18,"Vs":100},{"HD":1,"RS":16,"Vs":170},{"HD":1},{"HD":1},{"HD":1,"RS":18,"Vs":230},{"HD":1},{"HD":1},{"HD":1},{"HD":1},{"HD":1,"RS":16,"Vs":260},{"HD":1},{"HD":1},{"HD":1},{"HD":1},{"HD":1},{"HD":1},{"HD":1},{"HD":1,"RS":16,"Vs":310},{"HD":1},{"HD":1},{"HD":1},{"HD":1,"RS":19,"Vs":400}],"user":"","pass":""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54</xdr:row>
      <xdr:rowOff>107373</xdr:rowOff>
    </xdr:from>
    <xdr:to>
      <xdr:col>3</xdr:col>
      <xdr:colOff>462396</xdr:colOff>
      <xdr:row>55</xdr:row>
      <xdr:rowOff>135948</xdr:rowOff>
    </xdr:to>
    <xdr:sp macro="" textlink="">
      <xdr:nvSpPr>
        <xdr:cNvPr id="16" name="Text Box 58"/>
        <xdr:cNvSpPr txBox="1">
          <a:spLocks noChangeArrowheads="1"/>
        </xdr:cNvSpPr>
      </xdr:nvSpPr>
      <xdr:spPr bwMode="auto">
        <a:xfrm>
          <a:off x="938646" y="21643398"/>
          <a:ext cx="167640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44904</xdr:colOff>
      <xdr:row>55</xdr:row>
      <xdr:rowOff>149679</xdr:rowOff>
    </xdr:from>
    <xdr:to>
      <xdr:col>11</xdr:col>
      <xdr:colOff>925286</xdr:colOff>
      <xdr:row>89</xdr:row>
      <xdr:rowOff>95250</xdr:rowOff>
    </xdr:to>
    <xdr:sp macro="" textlink="">
      <xdr:nvSpPr>
        <xdr:cNvPr id="17" name="text box 67"/>
        <xdr:cNvSpPr txBox="1">
          <a:spLocks noChangeArrowheads="1"/>
        </xdr:cNvSpPr>
      </xdr:nvSpPr>
      <xdr:spPr bwMode="auto">
        <a:xfrm>
          <a:off x="5969454" y="21866679"/>
          <a:ext cx="4652282" cy="60987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AH":[14.1955395,5.377763,3.42472887,2.44069672],"FI":[2.9093647,7.679774,12.0593481,16.9213982],"PH":[1.401179,-0.6868344,0.472773522,-0.348530382],"SP":[34.3717651,13.0212173,8.292322,5.909677],"TI":[0.343717664,0.130212173,0.08292322,0.0590967722],"WI":[18.280077,48.25344,75.77112,106.320282],"XL":[[13.347892732831493,12.927626609658015,12.35802651254359,11.645671908257906,11.229986351282488,10.743399475234593,10.18898404820715,9.5702405313902261,8.89107470422348,8.2463442427349722,7.5608676679606113,6.8380315343349434,6.0814079163329939,5.2947348052690719,4.4818991811329907,3.646917968417255,2.7939165906049208,2.1840275677177194,1.5665461477050617,0.94361896666797718,0.31741158885042015,-1.333014948845856E-06],[3.2715663007933942,2.3496586287269561,1.2397129851332367,0.030555550657987127,-0.56149644703574231,-1.1289247213598446,-1.6468453919255868,-2.0925457058526011,-2.4464798878440259,-2.6692554940535373,-2.8003555714211963,-2.83527771563598,-2.7728223697575851,-2.6151343562245093,-2.3676296386498006,-2.0388088046668487,-1.6399652394823399,-1.3192548206993475,-0.96664482092122217,-0.590661308749347,-0.200395625466259,-5.8511371099430084E-07],[0.44784998292747757,-0.56454503138974255,-1.4666322422237257,-2.0821504526719288,-2.1733614690295826,-2.0308224149193381,-1.6698633870727282,-1.1293062181653275,-0.46728945607387862,0.15975096334282651,0.7733195400957753,1.3216736484024754,1.7585703808489126,2.0471659693922466,2.1631229602221573,2.0966625955478508,1.8533895715650377,1.5712467986779401,1.1957001336196966,0.74907426223508466,0.25791909584332312,-1.5930673331842856E-06],[-1.0600561224579943,-1.7111389598675637,-1.7144570538373285,-1.0687542186396475,-0.53216529672936175,0.11612939969498069,0.74004766019375656,1.208624008048198,1.4235004668389717,1.364226737703871,1.0799895453290604,0.61766019512592751,0.053477555792742527,-0.51952357805581717,-1.0068543891314843,-1.3281531166920943,-1.4304370904072785,-1.3360234095653534,-1.0859910086639168,-0.7094635056795553,-0.25029838325195486,7.4517642399688155E-07]]}</a:t>
          </a:r>
          <a:endParaRPr lang="ja-JP" altLang="en-US"/>
        </a:p>
      </xdr:txBody>
    </xdr:sp>
    <xdr:clientData/>
  </xdr:twoCellAnchor>
  <xdr:twoCellAnchor>
    <xdr:from>
      <xdr:col>7</xdr:col>
      <xdr:colOff>77561</xdr:colOff>
      <xdr:row>54</xdr:row>
      <xdr:rowOff>50347</xdr:rowOff>
    </xdr:from>
    <xdr:to>
      <xdr:col>9</xdr:col>
      <xdr:colOff>835479</xdr:colOff>
      <xdr:row>55</xdr:row>
      <xdr:rowOff>78922</xdr:rowOff>
    </xdr:to>
    <xdr:sp macro="" textlink="">
      <xdr:nvSpPr>
        <xdr:cNvPr id="18" name="Text Box 62"/>
        <xdr:cNvSpPr txBox="1">
          <a:spLocks noChangeArrowheads="1"/>
        </xdr:cNvSpPr>
      </xdr:nvSpPr>
      <xdr:spPr bwMode="auto">
        <a:xfrm>
          <a:off x="6002111" y="215863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サーバーから受け取った釣り合い計算結果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76200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①応答変位量の計算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190500</xdr:rowOff>
        </xdr:from>
        <xdr:to>
          <xdr:col>7</xdr:col>
          <xdr:colOff>400050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②構造物と地盤の動的相互作用を考慮した補正係数の計算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2</xdr:row>
          <xdr:rowOff>66675</xdr:rowOff>
        </xdr:from>
        <xdr:to>
          <xdr:col>33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③SNAP連携ファイル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(.JOT)の作成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arrow" w="sm" len="sm"/>
          <a:tailEnd type="arrow" w="sm" len="sm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6350" cap="flat" cmpd="sng" algn="ctr">
          <a:solidFill>
            <a:srgbClr val="000000"/>
          </a:solidFill>
          <a:prstDash val="solid"/>
          <a:round/>
          <a:headEnd type="none" w="sm" len="sm"/>
          <a:tailEnd type="none" w="sm" len="sm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heet"/>
  <dimension ref="A1:AO100"/>
  <sheetViews>
    <sheetView topLeftCell="A13" zoomScale="85" zoomScaleNormal="85" workbookViewId="0">
      <selection activeCell="E18" sqref="E18"/>
    </sheetView>
  </sheetViews>
  <sheetFormatPr defaultColWidth="12.375" defaultRowHeight="14.25" customHeight="1" x14ac:dyDescent="0.15"/>
  <cols>
    <col min="1" max="1" width="3.5" style="7" customWidth="1"/>
    <col min="2" max="5" width="12.375" style="8" customWidth="1"/>
    <col min="6" max="6" width="12.375" style="7" customWidth="1"/>
    <col min="7" max="12" width="12.375" style="8" customWidth="1"/>
    <col min="13" max="13" width="12.375" style="7" customWidth="1"/>
    <col min="14" max="18" width="12.375" style="8" customWidth="1"/>
    <col min="19" max="19" width="12.375" style="7" customWidth="1"/>
    <col min="20" max="16384" width="12.375" style="8"/>
  </cols>
  <sheetData>
    <row r="1" spans="1:19" s="3" customFormat="1" ht="15.75" customHeight="1" x14ac:dyDescent="0.2">
      <c r="A1" s="1" t="s">
        <v>50</v>
      </c>
      <c r="B1" s="2"/>
      <c r="C1" s="2"/>
      <c r="D1" s="2"/>
      <c r="E1" s="2"/>
      <c r="F1" s="2"/>
      <c r="G1" s="2"/>
      <c r="H1" s="2"/>
      <c r="I1" s="2"/>
      <c r="J1" s="2"/>
    </row>
    <row r="3" spans="1:19" s="4" customFormat="1" ht="14.25" customHeight="1" x14ac:dyDescent="0.15">
      <c r="B3" s="5" t="s">
        <v>1</v>
      </c>
      <c r="K3" s="6"/>
    </row>
    <row r="4" spans="1:19" s="4" customFormat="1" ht="7.5" customHeight="1" x14ac:dyDescent="0.15"/>
    <row r="5" spans="1:19" s="4" customFormat="1" ht="14.25" customHeight="1" x14ac:dyDescent="0.15">
      <c r="B5" s="4" t="s">
        <v>27</v>
      </c>
    </row>
    <row r="6" spans="1:19" s="4" customFormat="1" ht="14.25" customHeight="1" x14ac:dyDescent="0.15">
      <c r="B6" s="4" t="s">
        <v>51</v>
      </c>
    </row>
    <row r="7" spans="1:19" s="4" customFormat="1" ht="14.25" customHeight="1" x14ac:dyDescent="0.15"/>
    <row r="8" spans="1:19" ht="14.25" customHeight="1" x14ac:dyDescent="0.15">
      <c r="B8" s="8" t="s">
        <v>2</v>
      </c>
    </row>
    <row r="9" spans="1:19" ht="14.25" customHeight="1" x14ac:dyDescent="0.15">
      <c r="B9" s="9" t="s">
        <v>3</v>
      </c>
    </row>
    <row r="11" spans="1:19" ht="14.25" customHeight="1" x14ac:dyDescent="0.15">
      <c r="B11" s="8" t="s">
        <v>4</v>
      </c>
    </row>
    <row r="13" spans="1:19" s="12" customFormat="1" ht="14.25" customHeight="1" x14ac:dyDescent="0.15">
      <c r="A13" s="10"/>
      <c r="B13" s="11" t="s">
        <v>5</v>
      </c>
      <c r="F13" s="10"/>
      <c r="M13" s="10"/>
      <c r="S13" s="10"/>
    </row>
    <row r="14" spans="1:19" s="12" customFormat="1" ht="14.25" customHeight="1" x14ac:dyDescent="0.15">
      <c r="A14" s="10"/>
      <c r="B14" s="100"/>
      <c r="C14" s="101"/>
      <c r="D14" s="101"/>
      <c r="E14" s="101"/>
      <c r="F14" s="101"/>
      <c r="G14" s="101"/>
      <c r="H14" s="102"/>
      <c r="M14" s="10"/>
      <c r="S14" s="10"/>
    </row>
    <row r="15" spans="1:19" s="12" customFormat="1" ht="14.25" customHeight="1" x14ac:dyDescent="0.15">
      <c r="A15" s="10"/>
      <c r="B15" s="11" t="s">
        <v>6</v>
      </c>
      <c r="F15" s="10"/>
      <c r="M15" s="10"/>
      <c r="S15" s="10"/>
    </row>
    <row r="16" spans="1:19" s="12" customFormat="1" ht="14.25" customHeight="1" x14ac:dyDescent="0.15">
      <c r="A16" s="10"/>
      <c r="B16" s="103"/>
      <c r="C16" s="104"/>
      <c r="D16" s="104"/>
      <c r="E16" s="104"/>
      <c r="F16" s="104"/>
      <c r="G16" s="104"/>
      <c r="H16" s="105"/>
      <c r="M16" s="10"/>
      <c r="S16" s="10"/>
    </row>
    <row r="18" spans="2:11" ht="14.25" customHeight="1" x14ac:dyDescent="0.15">
      <c r="B18" s="8" t="s">
        <v>7</v>
      </c>
    </row>
    <row r="19" spans="2:11" ht="14.25" customHeight="1" x14ac:dyDescent="0.15">
      <c r="B19" s="13" t="s">
        <v>8</v>
      </c>
    </row>
    <row r="20" spans="2:11" ht="14.25" customHeight="1" x14ac:dyDescent="0.15">
      <c r="B20" s="13" t="s">
        <v>9</v>
      </c>
    </row>
    <row r="23" spans="2:11" s="4" customFormat="1" ht="14.25" customHeight="1" x14ac:dyDescent="0.15">
      <c r="B23" s="5" t="s">
        <v>10</v>
      </c>
      <c r="K23" s="6"/>
    </row>
    <row r="24" spans="2:11" s="4" customFormat="1" ht="7.5" customHeight="1" x14ac:dyDescent="0.15"/>
    <row r="25" spans="2:11" ht="14.25" customHeight="1" x14ac:dyDescent="0.15">
      <c r="B25" s="8" t="s">
        <v>11</v>
      </c>
    </row>
    <row r="26" spans="2:11" ht="14.25" customHeight="1" x14ac:dyDescent="0.15">
      <c r="B26" s="8" t="s">
        <v>12</v>
      </c>
    </row>
    <row r="27" spans="2:11" ht="14.25" customHeight="1" x14ac:dyDescent="0.15">
      <c r="B27" s="8" t="s">
        <v>13</v>
      </c>
    </row>
    <row r="28" spans="2:11" ht="14.25" customHeight="1" x14ac:dyDescent="0.15">
      <c r="B28" s="8" t="s">
        <v>14</v>
      </c>
    </row>
    <row r="29" spans="2:11" ht="14.25" customHeight="1" x14ac:dyDescent="0.15">
      <c r="B29" s="8" t="s">
        <v>15</v>
      </c>
    </row>
    <row r="32" spans="2:11" s="4" customFormat="1" ht="14.25" customHeight="1" x14ac:dyDescent="0.15">
      <c r="B32" s="5" t="s">
        <v>16</v>
      </c>
      <c r="K32" s="6"/>
    </row>
    <row r="33" spans="2:21" s="4" customFormat="1" ht="7.5" customHeight="1" x14ac:dyDescent="0.15"/>
    <row r="34" spans="2:21" ht="14.25" customHeight="1" x14ac:dyDescent="0.15">
      <c r="B34" s="4" t="s">
        <v>52</v>
      </c>
    </row>
    <row r="35" spans="2:21" ht="14.25" customHeight="1" x14ac:dyDescent="0.15">
      <c r="B35" s="8" t="s">
        <v>17</v>
      </c>
    </row>
    <row r="37" spans="2:21" ht="14.25" customHeight="1" x14ac:dyDescent="0.15">
      <c r="U37"/>
    </row>
    <row r="42" spans="2:21" ht="14.25" customHeight="1" x14ac:dyDescent="0.15">
      <c r="N42"/>
    </row>
    <row r="43" spans="2:21" ht="14.25" customHeight="1" x14ac:dyDescent="0.15">
      <c r="N43" s="8" t="s">
        <v>18</v>
      </c>
    </row>
    <row r="44" spans="2:21" ht="14.25" customHeight="1" x14ac:dyDescent="0.15">
      <c r="K44"/>
    </row>
    <row r="46" spans="2:21" ht="14.25" customHeight="1" x14ac:dyDescent="0.15">
      <c r="L46"/>
      <c r="T46"/>
    </row>
    <row r="48" spans="2:21" ht="14.25" customHeight="1" x14ac:dyDescent="0.15">
      <c r="G48"/>
      <c r="L48"/>
    </row>
    <row r="49" spans="1:41" ht="14.25" customHeight="1" x14ac:dyDescent="0.15">
      <c r="K49"/>
    </row>
    <row r="54" spans="1:41" s="7" customFormat="1" ht="14.25" customHeight="1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60" spans="1:41" ht="14.25" customHeight="1" x14ac:dyDescent="0.15">
      <c r="N60"/>
    </row>
    <row r="92" spans="2:11" s="4" customFormat="1" ht="14.25" customHeight="1" x14ac:dyDescent="0.15">
      <c r="B92" s="5" t="s">
        <v>19</v>
      </c>
      <c r="K92" s="6"/>
    </row>
    <row r="93" spans="2:11" s="4" customFormat="1" ht="7.5" customHeight="1" x14ac:dyDescent="0.15"/>
    <row r="94" spans="2:11" ht="14.25" customHeight="1" x14ac:dyDescent="0.25">
      <c r="B94" s="15" t="s">
        <v>20</v>
      </c>
    </row>
    <row r="95" spans="2:11" ht="14.25" customHeight="1" x14ac:dyDescent="0.25">
      <c r="B95" s="15" t="s">
        <v>21</v>
      </c>
    </row>
    <row r="96" spans="2:11" ht="14.25" customHeight="1" x14ac:dyDescent="0.25">
      <c r="B96" s="15" t="s">
        <v>22</v>
      </c>
    </row>
    <row r="97" spans="2:2" ht="14.25" customHeight="1" x14ac:dyDescent="0.25">
      <c r="B97" s="15" t="s">
        <v>23</v>
      </c>
    </row>
    <row r="98" spans="2:2" ht="14.25" customHeight="1" x14ac:dyDescent="0.15">
      <c r="B98" s="16" t="s">
        <v>24</v>
      </c>
    </row>
    <row r="99" spans="2:2" ht="14.25" customHeight="1" x14ac:dyDescent="0.15">
      <c r="B99" s="17" t="s">
        <v>25</v>
      </c>
    </row>
    <row r="100" spans="2:2" ht="14.25" customHeight="1" x14ac:dyDescent="0.15">
      <c r="B100" s="18" t="s">
        <v>26</v>
      </c>
    </row>
  </sheetData>
  <mergeCells count="2">
    <mergeCell ref="B14:H14"/>
    <mergeCell ref="B16:H16"/>
  </mergeCells>
  <phoneticPr fontId="2"/>
  <hyperlinks>
    <hyperlink ref="B9" r:id="rId1"/>
  </hyperlinks>
  <pageMargins left="0.75" right="0.75" top="1" bottom="1" header="0.51200000000000001" footer="0.51200000000000001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1"/>
  <dimension ref="A1:I975"/>
  <sheetViews>
    <sheetView tabSelected="1" zoomScale="85" zoomScaleNormal="85" zoomScaleSheetLayoutView="85" workbookViewId="0">
      <selection activeCell="J14" sqref="J14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8.5" style="20" bestFit="1" customWidth="1"/>
    <col min="5" max="5" width="10.375" style="20" customWidth="1"/>
    <col min="6" max="8" width="11" style="20" customWidth="1"/>
    <col min="9" max="9" width="9.375" style="20" customWidth="1"/>
    <col min="10" max="10" width="7" style="20" customWidth="1"/>
    <col min="11" max="11" width="9.125" style="20" customWidth="1"/>
    <col min="12" max="12" width="9.375" style="20"/>
    <col min="13" max="13" width="0" style="20" hidden="1" customWidth="1"/>
    <col min="14" max="14" width="9.375" style="20"/>
    <col min="15" max="15" width="50.125" style="20" customWidth="1"/>
    <col min="16" max="16384" width="9.375" style="20"/>
  </cols>
  <sheetData>
    <row r="1" spans="1:8" ht="15.75" customHeight="1" x14ac:dyDescent="0.15">
      <c r="A1" s="19"/>
      <c r="B1" s="50" t="s">
        <v>57</v>
      </c>
    </row>
    <row r="2" spans="1:8" ht="15.75" customHeight="1" x14ac:dyDescent="0.15">
      <c r="A2" s="19"/>
      <c r="B2" s="50"/>
    </row>
    <row r="3" spans="1:8" ht="15.75" customHeight="1" x14ac:dyDescent="0.15">
      <c r="A3" s="19"/>
      <c r="B3" s="22"/>
      <c r="C3" s="23" t="s">
        <v>36</v>
      </c>
      <c r="D3" s="24">
        <v>1</v>
      </c>
      <c r="E3" s="25"/>
      <c r="F3" s="26"/>
      <c r="G3" s="26"/>
      <c r="H3" s="26"/>
    </row>
    <row r="4" spans="1:8" ht="15.75" customHeight="1" x14ac:dyDescent="0.15">
      <c r="A4" s="19"/>
      <c r="B4" s="22"/>
      <c r="C4" s="27" t="s">
        <v>37</v>
      </c>
      <c r="D4" s="24">
        <v>1</v>
      </c>
      <c r="E4" s="28"/>
      <c r="F4" s="26"/>
      <c r="G4" s="26"/>
      <c r="H4" s="26"/>
    </row>
    <row r="5" spans="1:8" ht="15.75" customHeight="1" x14ac:dyDescent="0.15">
      <c r="A5" s="19"/>
      <c r="B5" s="28"/>
      <c r="C5" s="23" t="s">
        <v>38</v>
      </c>
      <c r="D5" s="63">
        <v>0.34371766399999998</v>
      </c>
      <c r="E5" s="25" t="s">
        <v>39</v>
      </c>
      <c r="F5" s="26"/>
      <c r="G5" s="26"/>
      <c r="H5" s="26"/>
    </row>
    <row r="6" spans="1:8" ht="15.75" customHeight="1" x14ac:dyDescent="0.15">
      <c r="A6" s="19"/>
      <c r="B6" s="28"/>
      <c r="C6" s="26"/>
      <c r="D6" s="26"/>
      <c r="E6" s="26"/>
      <c r="F6" s="26"/>
      <c r="G6" s="26"/>
      <c r="H6" s="26"/>
    </row>
    <row r="7" spans="1:8" ht="15.75" customHeight="1" x14ac:dyDescent="0.15">
      <c r="A7" s="19"/>
      <c r="B7" s="29" t="s">
        <v>30</v>
      </c>
      <c r="C7" s="28"/>
      <c r="D7" s="28"/>
      <c r="E7" s="28"/>
      <c r="F7" s="28"/>
      <c r="G7" s="28"/>
      <c r="H7" s="28"/>
    </row>
    <row r="8" spans="1:8" ht="15.75" customHeight="1" x14ac:dyDescent="0.15">
      <c r="A8" s="19"/>
      <c r="B8" s="117" t="s">
        <v>0</v>
      </c>
      <c r="C8" s="120" t="s">
        <v>40</v>
      </c>
      <c r="D8" s="111" t="s">
        <v>49</v>
      </c>
      <c r="E8" s="114" t="s">
        <v>48</v>
      </c>
      <c r="F8" s="106" t="s">
        <v>31</v>
      </c>
      <c r="G8" s="107"/>
      <c r="H8" s="108"/>
    </row>
    <row r="9" spans="1:8" ht="15.75" customHeight="1" x14ac:dyDescent="0.15">
      <c r="A9" s="19"/>
      <c r="B9" s="118"/>
      <c r="C9" s="121"/>
      <c r="D9" s="112"/>
      <c r="E9" s="115"/>
      <c r="F9" s="30" t="s">
        <v>42</v>
      </c>
      <c r="G9" s="109" t="s">
        <v>44</v>
      </c>
      <c r="H9" s="110"/>
    </row>
    <row r="10" spans="1:8" ht="15.75" customHeight="1" x14ac:dyDescent="0.15">
      <c r="A10" s="19"/>
      <c r="B10" s="118"/>
      <c r="C10" s="121"/>
      <c r="D10" s="112"/>
      <c r="E10" s="115"/>
      <c r="F10" s="31"/>
      <c r="G10" s="32" t="s">
        <v>46</v>
      </c>
      <c r="H10" s="33" t="s">
        <v>47</v>
      </c>
    </row>
    <row r="11" spans="1:8" ht="15.75" customHeight="1" x14ac:dyDescent="0.15">
      <c r="A11" s="19"/>
      <c r="B11" s="118"/>
      <c r="C11" s="122"/>
      <c r="D11" s="113"/>
      <c r="E11" s="116"/>
      <c r="F11" s="34" t="s">
        <v>41</v>
      </c>
      <c r="G11" s="35" t="s">
        <v>43</v>
      </c>
      <c r="H11" s="36" t="s">
        <v>45</v>
      </c>
    </row>
    <row r="12" spans="1:8" ht="15.75" customHeight="1" x14ac:dyDescent="0.15">
      <c r="A12" s="19"/>
      <c r="B12" s="119"/>
      <c r="C12" s="37" t="s">
        <v>32</v>
      </c>
      <c r="D12" s="37" t="s">
        <v>33</v>
      </c>
      <c r="E12" s="38" t="s">
        <v>34</v>
      </c>
      <c r="F12" s="39" t="s">
        <v>35</v>
      </c>
      <c r="G12" s="37" t="s">
        <v>35</v>
      </c>
      <c r="H12" s="38" t="s">
        <v>35</v>
      </c>
    </row>
    <row r="13" spans="1:8" ht="15.75" customHeight="1" x14ac:dyDescent="0.15">
      <c r="A13" s="42"/>
      <c r="B13" s="98" t="s">
        <v>53</v>
      </c>
      <c r="C13" s="49"/>
      <c r="D13" s="44"/>
      <c r="E13" s="45"/>
      <c r="F13" s="71">
        <v>6.7952250000000003</v>
      </c>
      <c r="G13" s="72">
        <v>109.989653</v>
      </c>
      <c r="H13" s="73">
        <v>141.95539500000001</v>
      </c>
    </row>
    <row r="14" spans="1:8" ht="15.75" customHeight="1" x14ac:dyDescent="0.15">
      <c r="A14" s="42"/>
      <c r="B14" s="40">
        <v>1</v>
      </c>
      <c r="C14" s="43">
        <v>1.9</v>
      </c>
      <c r="D14" s="44">
        <v>18</v>
      </c>
      <c r="E14" s="45">
        <v>100</v>
      </c>
      <c r="F14" s="74">
        <v>6.3894673726905982</v>
      </c>
      <c r="G14" s="75">
        <v>103.42192966418473</v>
      </c>
      <c r="H14" s="76">
        <v>133.47892732831494</v>
      </c>
    </row>
    <row r="15" spans="1:8" ht="15.75" customHeight="1" x14ac:dyDescent="0.15">
      <c r="A15" s="42"/>
      <c r="B15" s="40">
        <v>2</v>
      </c>
      <c r="C15" s="43">
        <v>1</v>
      </c>
      <c r="D15" s="44">
        <v>16</v>
      </c>
      <c r="E15" s="45">
        <v>170</v>
      </c>
      <c r="F15" s="74">
        <v>6.1882912967652048</v>
      </c>
      <c r="G15" s="75">
        <v>100.16563038900566</v>
      </c>
      <c r="H15" s="76">
        <v>129.27626609658014</v>
      </c>
    </row>
    <row r="16" spans="1:8" ht="15.75" customHeight="1" x14ac:dyDescent="0.15">
      <c r="A16" s="42"/>
      <c r="B16" s="40">
        <v>2</v>
      </c>
      <c r="C16" s="43">
        <v>1</v>
      </c>
      <c r="D16" s="44"/>
      <c r="E16" s="45"/>
      <c r="F16" s="74">
        <v>5.9156309368986504</v>
      </c>
      <c r="G16" s="75">
        <v>95.752263997801208</v>
      </c>
      <c r="H16" s="76">
        <v>123.5802651254359</v>
      </c>
    </row>
    <row r="17" spans="1:8" ht="15.75" customHeight="1" x14ac:dyDescent="0.15">
      <c r="A17" s="42"/>
      <c r="B17" s="40">
        <v>2</v>
      </c>
      <c r="C17" s="43">
        <v>1</v>
      </c>
      <c r="D17" s="44"/>
      <c r="E17" s="45"/>
      <c r="F17" s="74">
        <v>5.5746358005896859</v>
      </c>
      <c r="G17" s="75">
        <v>90.232809410098369</v>
      </c>
      <c r="H17" s="76">
        <v>116.45671908257907</v>
      </c>
    </row>
    <row r="18" spans="1:8" ht="15.75" customHeight="1" x14ac:dyDescent="0.15">
      <c r="A18" s="42"/>
      <c r="B18" s="40">
        <v>3</v>
      </c>
      <c r="C18" s="43">
        <v>1</v>
      </c>
      <c r="D18" s="44">
        <v>18</v>
      </c>
      <c r="E18" s="45">
        <v>230</v>
      </c>
      <c r="F18" s="74">
        <v>5.3756523837496459</v>
      </c>
      <c r="G18" s="75">
        <v>87.01200120490617</v>
      </c>
      <c r="H18" s="76">
        <v>112.29986351282488</v>
      </c>
    </row>
    <row r="19" spans="1:8" ht="15.75" customHeight="1" x14ac:dyDescent="0.15">
      <c r="A19" s="42"/>
      <c r="B19" s="40">
        <v>3</v>
      </c>
      <c r="C19" s="43">
        <v>1</v>
      </c>
      <c r="D19" s="44"/>
      <c r="E19" s="45"/>
      <c r="F19" s="74">
        <v>5.1427294025182899</v>
      </c>
      <c r="G19" s="75">
        <v>83.241836529671644</v>
      </c>
      <c r="H19" s="76">
        <v>107.43399475234594</v>
      </c>
    </row>
    <row r="20" spans="1:8" ht="15.75" customHeight="1" x14ac:dyDescent="0.15">
      <c r="A20" s="42"/>
      <c r="B20" s="40">
        <v>3</v>
      </c>
      <c r="C20" s="43">
        <v>1</v>
      </c>
      <c r="D20" s="44"/>
      <c r="E20" s="45"/>
      <c r="F20" s="74">
        <v>4.8773377521048156</v>
      </c>
      <c r="G20" s="75">
        <v>78.946123757142658</v>
      </c>
      <c r="H20" s="76">
        <v>101.88984048207149</v>
      </c>
    </row>
    <row r="21" spans="1:8" ht="15.75" customHeight="1" x14ac:dyDescent="0.15">
      <c r="A21" s="42"/>
      <c r="B21" s="40">
        <v>3</v>
      </c>
      <c r="C21" s="43">
        <v>1</v>
      </c>
      <c r="D21" s="44"/>
      <c r="E21" s="45"/>
      <c r="F21" s="74">
        <v>4.5811530589928164</v>
      </c>
      <c r="G21" s="75">
        <v>74.151985104903446</v>
      </c>
      <c r="H21" s="76">
        <v>95.702405313902261</v>
      </c>
    </row>
    <row r="22" spans="1:8" ht="15.75" customHeight="1" x14ac:dyDescent="0.15">
      <c r="A22" s="42"/>
      <c r="B22" s="40">
        <v>3</v>
      </c>
      <c r="C22" s="43">
        <v>1</v>
      </c>
      <c r="D22" s="44"/>
      <c r="E22" s="45"/>
      <c r="F22" s="74">
        <v>4.2560449703838508</v>
      </c>
      <c r="G22" s="75">
        <v>68.889683270937709</v>
      </c>
      <c r="H22" s="76">
        <v>88.910747042234789</v>
      </c>
    </row>
    <row r="23" spans="1:8" ht="15.75" customHeight="1" x14ac:dyDescent="0.15">
      <c r="A23" s="42"/>
      <c r="B23" s="40">
        <v>4</v>
      </c>
      <c r="C23" s="43">
        <v>1</v>
      </c>
      <c r="D23" s="44">
        <v>16</v>
      </c>
      <c r="E23" s="45">
        <v>260</v>
      </c>
      <c r="F23" s="74">
        <v>3.9474206556462912</v>
      </c>
      <c r="G23" s="75">
        <v>63.894192988309619</v>
      </c>
      <c r="H23" s="76">
        <v>82.463442427349719</v>
      </c>
    </row>
    <row r="24" spans="1:8" ht="15.75" customHeight="1" x14ac:dyDescent="0.15">
      <c r="A24" s="42"/>
      <c r="B24" s="40">
        <v>4</v>
      </c>
      <c r="C24" s="43">
        <v>1</v>
      </c>
      <c r="D24" s="44"/>
      <c r="E24" s="45"/>
      <c r="F24" s="74">
        <v>3.6192916920016014</v>
      </c>
      <c r="G24" s="75">
        <v>58.582994320344184</v>
      </c>
      <c r="H24" s="76">
        <v>75.608676679606106</v>
      </c>
    </row>
    <row r="25" spans="1:8" ht="15.75" customHeight="1" x14ac:dyDescent="0.15">
      <c r="A25" s="42"/>
      <c r="B25" s="40">
        <v>4</v>
      </c>
      <c r="C25" s="43">
        <v>1</v>
      </c>
      <c r="D25" s="44"/>
      <c r="E25" s="45"/>
      <c r="F25" s="74">
        <v>3.2732791802106642</v>
      </c>
      <c r="G25" s="75">
        <v>52.98232691411858</v>
      </c>
      <c r="H25" s="76">
        <v>68.380315343349437</v>
      </c>
    </row>
    <row r="26" spans="1:8" ht="15.75" customHeight="1" x14ac:dyDescent="0.15">
      <c r="A26" s="42"/>
      <c r="B26" s="40">
        <v>4</v>
      </c>
      <c r="C26" s="43">
        <v>1</v>
      </c>
      <c r="D26" s="44"/>
      <c r="E26" s="45"/>
      <c r="F26" s="74">
        <v>2.9110930271305255</v>
      </c>
      <c r="G26" s="75">
        <v>47.119867860129823</v>
      </c>
      <c r="H26" s="76">
        <v>60.814079163329936</v>
      </c>
    </row>
    <row r="27" spans="1:8" ht="15.75" customHeight="1" x14ac:dyDescent="0.15">
      <c r="A27" s="42"/>
      <c r="B27" s="40">
        <v>4</v>
      </c>
      <c r="C27" s="43">
        <v>1</v>
      </c>
      <c r="D27" s="44"/>
      <c r="E27" s="45"/>
      <c r="F27" s="74">
        <v>2.5345225619100074</v>
      </c>
      <c r="G27" s="75">
        <v>41.024579803083867</v>
      </c>
      <c r="H27" s="76">
        <v>52.947348052690721</v>
      </c>
    </row>
    <row r="28" spans="1:8" ht="15.75" customHeight="1" x14ac:dyDescent="0.15">
      <c r="A28" s="42"/>
      <c r="B28" s="40">
        <v>4</v>
      </c>
      <c r="C28" s="43">
        <v>1</v>
      </c>
      <c r="D28" s="44"/>
      <c r="E28" s="45"/>
      <c r="F28" s="74">
        <v>2.145428432691876</v>
      </c>
      <c r="G28" s="75">
        <v>34.726579779366809</v>
      </c>
      <c r="H28" s="76">
        <v>44.818991811329909</v>
      </c>
    </row>
    <row r="29" spans="1:8" ht="15.75" customHeight="1" x14ac:dyDescent="0.15">
      <c r="A29" s="42"/>
      <c r="B29" s="40">
        <v>4</v>
      </c>
      <c r="C29" s="43">
        <v>1</v>
      </c>
      <c r="D29" s="44"/>
      <c r="E29" s="45"/>
      <c r="F29" s="74">
        <v>1.7457334904082722</v>
      </c>
      <c r="G29" s="75">
        <v>28.256991659288779</v>
      </c>
      <c r="H29" s="76">
        <v>36.469179684172552</v>
      </c>
    </row>
    <row r="30" spans="1:8" ht="15.75" customHeight="1" x14ac:dyDescent="0.15">
      <c r="A30" s="42"/>
      <c r="B30" s="40">
        <v>4</v>
      </c>
      <c r="C30" s="43">
        <v>1</v>
      </c>
      <c r="D30" s="44"/>
      <c r="E30" s="45"/>
      <c r="F30" s="74">
        <v>1.3374125230853742</v>
      </c>
      <c r="G30" s="75">
        <v>21.647779983308677</v>
      </c>
      <c r="H30" s="76">
        <v>27.939165906049208</v>
      </c>
    </row>
    <row r="31" spans="1:8" ht="15.75" customHeight="1" x14ac:dyDescent="0.15">
      <c r="A31" s="42"/>
      <c r="B31" s="40">
        <v>5</v>
      </c>
      <c r="C31" s="43">
        <v>1</v>
      </c>
      <c r="D31" s="44">
        <v>16</v>
      </c>
      <c r="E31" s="45">
        <v>310</v>
      </c>
      <c r="F31" s="74">
        <v>1.0454663641898285</v>
      </c>
      <c r="G31" s="75">
        <v>16.922247579766637</v>
      </c>
      <c r="H31" s="76">
        <v>21.840275677177196</v>
      </c>
    </row>
    <row r="32" spans="1:8" ht="15.75" customHeight="1" x14ac:dyDescent="0.15">
      <c r="A32" s="42"/>
      <c r="B32" s="40">
        <v>5</v>
      </c>
      <c r="C32" s="43">
        <v>1</v>
      </c>
      <c r="D32" s="44"/>
      <c r="E32" s="45"/>
      <c r="F32" s="74">
        <v>0.74988582084989086</v>
      </c>
      <c r="G32" s="75">
        <v>12.13788788586437</v>
      </c>
      <c r="H32" s="76">
        <v>15.665461477050616</v>
      </c>
    </row>
    <row r="33" spans="1:8" ht="15.75" customHeight="1" x14ac:dyDescent="0.15">
      <c r="A33" s="42"/>
      <c r="B33" s="40">
        <v>5</v>
      </c>
      <c r="C33" s="43">
        <v>1</v>
      </c>
      <c r="D33" s="44"/>
      <c r="E33" s="45"/>
      <c r="F33" s="74">
        <v>0.45169846060772739</v>
      </c>
      <c r="G33" s="75">
        <v>7.3113334332155837</v>
      </c>
      <c r="H33" s="76">
        <v>9.4361896666797715</v>
      </c>
    </row>
    <row r="34" spans="1:8" ht="15.75" customHeight="1" x14ac:dyDescent="0.15">
      <c r="A34" s="42"/>
      <c r="B34" s="40">
        <v>5</v>
      </c>
      <c r="C34" s="43">
        <v>1</v>
      </c>
      <c r="D34" s="44"/>
      <c r="E34" s="45"/>
      <c r="F34" s="74">
        <v>0.15194091166804144</v>
      </c>
      <c r="G34" s="75">
        <v>2.459363412169226</v>
      </c>
      <c r="H34" s="76">
        <v>3.1741158885042013</v>
      </c>
    </row>
    <row r="35" spans="1:8" ht="15.75" customHeight="1" x14ac:dyDescent="0.15">
      <c r="A35" s="42"/>
      <c r="B35" s="40">
        <v>6</v>
      </c>
      <c r="C35" s="43">
        <v>1</v>
      </c>
      <c r="D35" s="44">
        <v>19</v>
      </c>
      <c r="E35" s="45">
        <v>400</v>
      </c>
      <c r="F35" s="74">
        <v>-6.3809739060981019E-7</v>
      </c>
      <c r="G35" s="75">
        <v>-1.0328445174101875E-5</v>
      </c>
      <c r="H35" s="76">
        <v>-1.333014948845856E-5</v>
      </c>
    </row>
    <row r="36" spans="1:8" ht="15.75" customHeight="1" x14ac:dyDescent="0.15">
      <c r="A36" s="42"/>
      <c r="B36" s="40"/>
      <c r="C36" s="43"/>
      <c r="D36" s="44"/>
      <c r="E36" s="45"/>
      <c r="F36" s="74"/>
      <c r="G36" s="75"/>
      <c r="H36" s="76"/>
    </row>
    <row r="37" spans="1:8" ht="15.75" customHeight="1" x14ac:dyDescent="0.15">
      <c r="A37" s="42"/>
      <c r="B37" s="40"/>
      <c r="C37" s="43"/>
      <c r="D37" s="44"/>
      <c r="E37" s="45"/>
      <c r="F37" s="74"/>
      <c r="G37" s="75"/>
      <c r="H37" s="76"/>
    </row>
    <row r="38" spans="1:8" ht="15.75" customHeight="1" x14ac:dyDescent="0.15">
      <c r="A38" s="42"/>
      <c r="B38" s="40"/>
      <c r="C38" s="43"/>
      <c r="D38" s="44"/>
      <c r="E38" s="45"/>
      <c r="F38" s="74"/>
      <c r="G38" s="75"/>
      <c r="H38" s="76"/>
    </row>
    <row r="39" spans="1:8" ht="15.75" customHeight="1" x14ac:dyDescent="0.15">
      <c r="A39" s="42"/>
      <c r="B39" s="40"/>
      <c r="C39" s="43"/>
      <c r="D39" s="44"/>
      <c r="E39" s="45"/>
      <c r="F39" s="74"/>
      <c r="G39" s="75"/>
      <c r="H39" s="76"/>
    </row>
    <row r="40" spans="1:8" ht="15.75" customHeight="1" x14ac:dyDescent="0.15">
      <c r="A40" s="42"/>
      <c r="B40" s="40"/>
      <c r="C40" s="43"/>
      <c r="D40" s="44"/>
      <c r="E40" s="45"/>
      <c r="F40" s="74"/>
      <c r="G40" s="75"/>
      <c r="H40" s="76"/>
    </row>
    <row r="41" spans="1:8" ht="15.75" customHeight="1" x14ac:dyDescent="0.15">
      <c r="A41" s="42"/>
      <c r="B41" s="40"/>
      <c r="C41" s="43"/>
      <c r="D41" s="44"/>
      <c r="E41" s="45"/>
      <c r="F41" s="74"/>
      <c r="G41" s="75"/>
      <c r="H41" s="76"/>
    </row>
    <row r="42" spans="1:8" ht="15.75" customHeight="1" x14ac:dyDescent="0.15">
      <c r="A42" s="42"/>
      <c r="B42" s="40"/>
      <c r="C42" s="43"/>
      <c r="D42" s="44"/>
      <c r="E42" s="45"/>
      <c r="F42" s="74"/>
      <c r="G42" s="75"/>
      <c r="H42" s="76"/>
    </row>
    <row r="43" spans="1:8" ht="15.75" customHeight="1" x14ac:dyDescent="0.15">
      <c r="A43" s="42"/>
      <c r="B43" s="40"/>
      <c r="C43" s="43"/>
      <c r="D43" s="44"/>
      <c r="E43" s="45"/>
      <c r="F43" s="74"/>
      <c r="G43" s="75"/>
      <c r="H43" s="76"/>
    </row>
    <row r="44" spans="1:8" ht="15.75" customHeight="1" x14ac:dyDescent="0.15">
      <c r="A44" s="42"/>
      <c r="B44" s="40"/>
      <c r="C44" s="43"/>
      <c r="D44" s="44"/>
      <c r="E44" s="45"/>
      <c r="F44" s="74"/>
      <c r="G44" s="75"/>
      <c r="H44" s="76"/>
    </row>
    <row r="45" spans="1:8" ht="15.75" customHeight="1" x14ac:dyDescent="0.15">
      <c r="A45" s="42"/>
      <c r="B45" s="40"/>
      <c r="C45" s="43"/>
      <c r="D45" s="44"/>
      <c r="E45" s="45"/>
      <c r="F45" s="74"/>
      <c r="G45" s="75"/>
      <c r="H45" s="76"/>
    </row>
    <row r="46" spans="1:8" ht="15.75" customHeight="1" x14ac:dyDescent="0.15">
      <c r="A46" s="42"/>
      <c r="B46" s="40"/>
      <c r="C46" s="43"/>
      <c r="D46" s="44"/>
      <c r="E46" s="45"/>
      <c r="F46" s="74"/>
      <c r="G46" s="75"/>
      <c r="H46" s="76"/>
    </row>
    <row r="47" spans="1:8" ht="15.75" customHeight="1" x14ac:dyDescent="0.15">
      <c r="A47" s="42"/>
      <c r="B47" s="40"/>
      <c r="C47" s="43"/>
      <c r="D47" s="44"/>
      <c r="E47" s="45"/>
      <c r="F47" s="74"/>
      <c r="G47" s="75"/>
      <c r="H47" s="76"/>
    </row>
    <row r="48" spans="1:8" ht="15.75" customHeight="1" x14ac:dyDescent="0.15">
      <c r="A48" s="42"/>
      <c r="B48" s="40"/>
      <c r="C48" s="43"/>
      <c r="D48" s="44"/>
      <c r="E48" s="45"/>
      <c r="F48" s="74"/>
      <c r="G48" s="75"/>
      <c r="H48" s="76"/>
    </row>
    <row r="49" spans="1:8" ht="15.75" customHeight="1" x14ac:dyDescent="0.15">
      <c r="A49" s="42"/>
      <c r="B49" s="40"/>
      <c r="C49" s="43"/>
      <c r="D49" s="44"/>
      <c r="E49" s="45"/>
      <c r="F49" s="74"/>
      <c r="G49" s="75"/>
      <c r="H49" s="76"/>
    </row>
    <row r="50" spans="1:8" ht="15.75" customHeight="1" x14ac:dyDescent="0.15">
      <c r="A50" s="42"/>
      <c r="B50" s="40"/>
      <c r="C50" s="43"/>
      <c r="D50" s="44"/>
      <c r="E50" s="45"/>
      <c r="F50" s="74"/>
      <c r="G50" s="75"/>
      <c r="H50" s="76"/>
    </row>
    <row r="51" spans="1:8" ht="15.75" customHeight="1" x14ac:dyDescent="0.15">
      <c r="A51" s="42"/>
      <c r="B51" s="40"/>
      <c r="C51" s="43"/>
      <c r="D51" s="44"/>
      <c r="E51" s="45"/>
      <c r="F51" s="74"/>
      <c r="G51" s="75"/>
      <c r="H51" s="76"/>
    </row>
    <row r="52" spans="1:8" ht="15.75" customHeight="1" x14ac:dyDescent="0.15">
      <c r="A52" s="42"/>
      <c r="B52" s="40"/>
      <c r="C52" s="43"/>
      <c r="D52" s="44"/>
      <c r="E52" s="45"/>
      <c r="F52" s="74"/>
      <c r="G52" s="75"/>
      <c r="H52" s="76"/>
    </row>
    <row r="53" spans="1:8" ht="15.75" customHeight="1" x14ac:dyDescent="0.15">
      <c r="A53" s="42"/>
      <c r="B53" s="40"/>
      <c r="C53" s="43"/>
      <c r="D53" s="44"/>
      <c r="E53" s="45"/>
      <c r="F53" s="74"/>
      <c r="G53" s="75"/>
      <c r="H53" s="76"/>
    </row>
    <row r="54" spans="1:8" ht="15.75" customHeight="1" x14ac:dyDescent="0.15">
      <c r="A54" s="42"/>
      <c r="B54" s="40"/>
      <c r="C54" s="43"/>
      <c r="D54" s="44"/>
      <c r="E54" s="45"/>
      <c r="F54" s="74"/>
      <c r="G54" s="75"/>
      <c r="H54" s="76"/>
    </row>
    <row r="55" spans="1:8" ht="15.75" customHeight="1" x14ac:dyDescent="0.15">
      <c r="A55" s="42"/>
      <c r="B55" s="40"/>
      <c r="C55" s="43"/>
      <c r="D55" s="44"/>
      <c r="E55" s="45"/>
      <c r="F55" s="74"/>
      <c r="G55" s="75"/>
      <c r="H55" s="76"/>
    </row>
    <row r="56" spans="1:8" ht="15.75" customHeight="1" x14ac:dyDescent="0.15">
      <c r="A56" s="42"/>
      <c r="B56" s="40"/>
      <c r="C56" s="43"/>
      <c r="D56" s="44"/>
      <c r="E56" s="45"/>
      <c r="F56" s="74"/>
      <c r="G56" s="75"/>
      <c r="H56" s="76"/>
    </row>
    <row r="57" spans="1:8" ht="15.75" customHeight="1" x14ac:dyDescent="0.15">
      <c r="A57" s="42"/>
      <c r="B57" s="40"/>
      <c r="C57" s="43"/>
      <c r="D57" s="44"/>
      <c r="E57" s="45"/>
      <c r="F57" s="74"/>
      <c r="G57" s="75"/>
      <c r="H57" s="76"/>
    </row>
    <row r="58" spans="1:8" ht="15.75" customHeight="1" x14ac:dyDescent="0.15">
      <c r="A58" s="42"/>
      <c r="B58" s="40"/>
      <c r="C58" s="43"/>
      <c r="D58" s="44"/>
      <c r="E58" s="45"/>
      <c r="F58" s="74"/>
      <c r="G58" s="75"/>
      <c r="H58" s="76"/>
    </row>
    <row r="59" spans="1:8" ht="15.75" customHeight="1" x14ac:dyDescent="0.15">
      <c r="A59" s="42"/>
      <c r="B59" s="40"/>
      <c r="C59" s="43"/>
      <c r="D59" s="44"/>
      <c r="E59" s="45"/>
      <c r="F59" s="74"/>
      <c r="G59" s="75"/>
      <c r="H59" s="76"/>
    </row>
    <row r="60" spans="1:8" ht="15.75" customHeight="1" x14ac:dyDescent="0.15">
      <c r="A60" s="42"/>
      <c r="B60" s="40"/>
      <c r="C60" s="43"/>
      <c r="D60" s="44"/>
      <c r="E60" s="45"/>
      <c r="F60" s="74"/>
      <c r="G60" s="75"/>
      <c r="H60" s="76"/>
    </row>
    <row r="61" spans="1:8" ht="15.75" customHeight="1" x14ac:dyDescent="0.15">
      <c r="A61" s="42"/>
      <c r="B61" s="40"/>
      <c r="C61" s="43"/>
      <c r="D61" s="44"/>
      <c r="E61" s="45"/>
      <c r="F61" s="74"/>
      <c r="G61" s="75"/>
      <c r="H61" s="76"/>
    </row>
    <row r="62" spans="1:8" ht="15.75" customHeight="1" x14ac:dyDescent="0.15">
      <c r="A62" s="42"/>
      <c r="B62" s="40"/>
      <c r="C62" s="43"/>
      <c r="D62" s="44"/>
      <c r="E62" s="45"/>
      <c r="F62" s="74"/>
      <c r="G62" s="75"/>
      <c r="H62" s="76"/>
    </row>
    <row r="63" spans="1:8" ht="15.75" customHeight="1" x14ac:dyDescent="0.15">
      <c r="A63" s="42"/>
      <c r="B63" s="40"/>
      <c r="C63" s="43"/>
      <c r="D63" s="44"/>
      <c r="E63" s="45"/>
      <c r="F63" s="74"/>
      <c r="G63" s="75"/>
      <c r="H63" s="76"/>
    </row>
    <row r="64" spans="1:8" ht="15.75" customHeight="1" x14ac:dyDescent="0.15">
      <c r="A64" s="42"/>
      <c r="B64" s="40"/>
      <c r="C64" s="43"/>
      <c r="D64" s="44"/>
      <c r="E64" s="45"/>
      <c r="F64" s="74"/>
      <c r="G64" s="75"/>
      <c r="H64" s="76"/>
    </row>
    <row r="65" spans="1:8" ht="15.75" customHeight="1" x14ac:dyDescent="0.15">
      <c r="A65" s="42"/>
      <c r="B65" s="40"/>
      <c r="C65" s="43"/>
      <c r="D65" s="44"/>
      <c r="E65" s="45"/>
      <c r="F65" s="74"/>
      <c r="G65" s="75"/>
      <c r="H65" s="76"/>
    </row>
    <row r="66" spans="1:8" ht="15.75" customHeight="1" x14ac:dyDescent="0.15">
      <c r="A66" s="42"/>
      <c r="B66" s="40"/>
      <c r="C66" s="43"/>
      <c r="D66" s="44"/>
      <c r="E66" s="45"/>
      <c r="F66" s="74"/>
      <c r="G66" s="75"/>
      <c r="H66" s="76"/>
    </row>
    <row r="67" spans="1:8" ht="15.75" customHeight="1" x14ac:dyDescent="0.15">
      <c r="A67" s="42"/>
      <c r="B67" s="40"/>
      <c r="C67" s="43"/>
      <c r="D67" s="44"/>
      <c r="E67" s="45"/>
      <c r="F67" s="74"/>
      <c r="G67" s="75"/>
      <c r="H67" s="76"/>
    </row>
    <row r="68" spans="1:8" ht="15.75" customHeight="1" x14ac:dyDescent="0.15">
      <c r="A68" s="42"/>
      <c r="B68" s="40"/>
      <c r="C68" s="43"/>
      <c r="D68" s="44"/>
      <c r="E68" s="45"/>
      <c r="F68" s="74"/>
      <c r="G68" s="75"/>
      <c r="H68" s="76"/>
    </row>
    <row r="69" spans="1:8" ht="15.75" customHeight="1" x14ac:dyDescent="0.15">
      <c r="A69" s="42"/>
      <c r="B69" s="40"/>
      <c r="C69" s="43"/>
      <c r="D69" s="44"/>
      <c r="E69" s="45"/>
      <c r="F69" s="74"/>
      <c r="G69" s="75"/>
      <c r="H69" s="76"/>
    </row>
    <row r="70" spans="1:8" ht="15.75" customHeight="1" x14ac:dyDescent="0.15">
      <c r="A70" s="42"/>
      <c r="B70" s="40"/>
      <c r="C70" s="43"/>
      <c r="D70" s="44"/>
      <c r="E70" s="45"/>
      <c r="F70" s="74"/>
      <c r="G70" s="75"/>
      <c r="H70" s="76"/>
    </row>
    <row r="71" spans="1:8" ht="15.75" customHeight="1" x14ac:dyDescent="0.15">
      <c r="A71" s="42"/>
      <c r="B71" s="41"/>
      <c r="C71" s="46"/>
      <c r="D71" s="47"/>
      <c r="E71" s="48"/>
      <c r="F71" s="77"/>
      <c r="G71" s="78"/>
      <c r="H71" s="79"/>
    </row>
    <row r="74" spans="1:8" ht="15.75" customHeight="1" x14ac:dyDescent="0.15">
      <c r="C74" s="20"/>
    </row>
    <row r="75" spans="1:8" ht="15.75" customHeight="1" x14ac:dyDescent="0.15">
      <c r="C75" s="20"/>
    </row>
    <row r="975" spans="9:9" ht="15.75" customHeight="1" x14ac:dyDescent="0.15">
      <c r="I975" s="20" t="e">
        <f>ROUND(IF(G975="粘性土",MIN((1+#REF!/(2*杭先端径))*(#REF!+2*#REF!),9*#REF!),3*#REF!*#REF!),1)</f>
        <v>#REF!</v>
      </c>
    </row>
  </sheetData>
  <mergeCells count="6">
    <mergeCell ref="F8:H8"/>
    <mergeCell ref="G9:H9"/>
    <mergeCell ref="D8:D11"/>
    <mergeCell ref="E8:E11"/>
    <mergeCell ref="B8:B12"/>
    <mergeCell ref="C8:C11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応答変位量の計算_Click">
                <anchor moveWithCells="1" sizeWithCells="1">
                  <from>
                    <xdr:col>6</xdr:col>
                    <xdr:colOff>180975</xdr:colOff>
                    <xdr:row>2</xdr:row>
                    <xdr:rowOff>76200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2"/>
  <dimension ref="B1:G72"/>
  <sheetViews>
    <sheetView zoomScale="85" zoomScaleNormal="85" zoomScaleSheetLayoutView="85" workbookViewId="0">
      <selection activeCell="D15" sqref="D15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11.75" style="20" customWidth="1"/>
    <col min="5" max="5" width="11.75" style="20" hidden="1" customWidth="1"/>
    <col min="6" max="6" width="11.75" style="20" customWidth="1"/>
    <col min="7" max="7" width="25.75" style="20" customWidth="1"/>
    <col min="8" max="16384" width="9.375" style="20"/>
  </cols>
  <sheetData>
    <row r="1" spans="2:7" ht="15.75" customHeight="1" x14ac:dyDescent="0.15">
      <c r="B1" s="50" t="s">
        <v>29</v>
      </c>
      <c r="C1" s="20"/>
    </row>
    <row r="2" spans="2:7" ht="15.75" customHeight="1" x14ac:dyDescent="0.15">
      <c r="B2" s="50"/>
      <c r="C2" s="20"/>
    </row>
    <row r="3" spans="2:7" ht="15.75" customHeight="1" x14ac:dyDescent="0.15">
      <c r="B3" s="126" t="s">
        <v>118</v>
      </c>
      <c r="C3" s="126"/>
    </row>
    <row r="4" spans="2:7" ht="15.75" customHeight="1" x14ac:dyDescent="0.15">
      <c r="B4" s="126" t="s">
        <v>119</v>
      </c>
      <c r="C4" s="126"/>
    </row>
    <row r="5" spans="2:7" ht="15.75" customHeight="1" x14ac:dyDescent="0.15">
      <c r="C5" s="20"/>
    </row>
    <row r="6" spans="2:7" ht="15.75" customHeight="1" x14ac:dyDescent="0.15">
      <c r="C6" s="20"/>
    </row>
    <row r="7" spans="2:7" ht="15.75" customHeight="1" x14ac:dyDescent="0.15">
      <c r="B7" s="68" t="s">
        <v>59</v>
      </c>
      <c r="C7" s="20"/>
    </row>
    <row r="8" spans="2:7" ht="15.75" customHeight="1" x14ac:dyDescent="0.15">
      <c r="B8" s="127" t="s">
        <v>28</v>
      </c>
      <c r="C8" s="130" t="s">
        <v>54</v>
      </c>
      <c r="D8" s="106" t="s">
        <v>31</v>
      </c>
      <c r="E8" s="107"/>
      <c r="F8" s="108"/>
      <c r="G8" s="123" t="s">
        <v>56</v>
      </c>
    </row>
    <row r="9" spans="2:7" ht="15.75" customHeight="1" x14ac:dyDescent="0.15">
      <c r="B9" s="128"/>
      <c r="C9" s="131"/>
      <c r="D9" s="30" t="s">
        <v>89</v>
      </c>
      <c r="E9" s="109" t="s">
        <v>90</v>
      </c>
      <c r="F9" s="110"/>
      <c r="G9" s="124"/>
    </row>
    <row r="10" spans="2:7" ht="15.75" customHeight="1" x14ac:dyDescent="0.15">
      <c r="B10" s="129"/>
      <c r="C10" s="67" t="s">
        <v>55</v>
      </c>
      <c r="D10" s="56"/>
      <c r="E10" s="55" t="s">
        <v>46</v>
      </c>
      <c r="F10" s="57" t="s">
        <v>47</v>
      </c>
      <c r="G10" s="125"/>
    </row>
    <row r="11" spans="2:7" ht="15.75" customHeight="1" x14ac:dyDescent="0.15">
      <c r="B11" s="83">
        <v>1</v>
      </c>
      <c r="C11" s="62">
        <v>0.56000000000000005</v>
      </c>
      <c r="D11" s="64" t="s">
        <v>110</v>
      </c>
      <c r="E11" s="65" t="s">
        <v>58</v>
      </c>
      <c r="F11" s="66" t="s">
        <v>110</v>
      </c>
      <c r="G11" s="92" t="s">
        <v>120</v>
      </c>
    </row>
    <row r="12" spans="2:7" ht="15.75" customHeight="1" x14ac:dyDescent="0.15">
      <c r="B12" s="84">
        <v>2</v>
      </c>
      <c r="C12" s="60">
        <v>0.58599999999999997</v>
      </c>
      <c r="D12" s="58" t="s">
        <v>110</v>
      </c>
      <c r="E12" s="51" t="s">
        <v>58</v>
      </c>
      <c r="F12" s="52" t="s">
        <v>109</v>
      </c>
      <c r="G12" s="93" t="s">
        <v>121</v>
      </c>
    </row>
    <row r="13" spans="2:7" ht="15.75" customHeight="1" x14ac:dyDescent="0.15">
      <c r="B13" s="84">
        <v>3</v>
      </c>
      <c r="C13" s="60"/>
      <c r="D13" s="58"/>
      <c r="E13" s="51"/>
      <c r="F13" s="52"/>
      <c r="G13" s="93"/>
    </row>
    <row r="14" spans="2:7" ht="15.75" customHeight="1" x14ac:dyDescent="0.15">
      <c r="B14" s="84">
        <v>4</v>
      </c>
      <c r="C14" s="60"/>
      <c r="D14" s="58"/>
      <c r="E14" s="51"/>
      <c r="F14" s="52"/>
      <c r="G14" s="93"/>
    </row>
    <row r="15" spans="2:7" ht="15.75" customHeight="1" x14ac:dyDescent="0.15">
      <c r="B15" s="84">
        <v>5</v>
      </c>
      <c r="C15" s="60"/>
      <c r="D15" s="58"/>
      <c r="E15" s="51"/>
      <c r="F15" s="52"/>
      <c r="G15" s="93"/>
    </row>
    <row r="16" spans="2:7" ht="15.75" customHeight="1" x14ac:dyDescent="0.15">
      <c r="B16" s="84">
        <v>6</v>
      </c>
      <c r="C16" s="60"/>
      <c r="D16" s="58"/>
      <c r="E16" s="51"/>
      <c r="F16" s="52"/>
      <c r="G16" s="93"/>
    </row>
    <row r="17" spans="2:7" ht="15.75" customHeight="1" x14ac:dyDescent="0.15">
      <c r="B17" s="84">
        <v>7</v>
      </c>
      <c r="C17" s="60"/>
      <c r="D17" s="58"/>
      <c r="E17" s="51"/>
      <c r="F17" s="52"/>
      <c r="G17" s="93"/>
    </row>
    <row r="18" spans="2:7" ht="15.75" customHeight="1" x14ac:dyDescent="0.15">
      <c r="B18" s="84">
        <v>8</v>
      </c>
      <c r="C18" s="60"/>
      <c r="D18" s="58"/>
      <c r="E18" s="51"/>
      <c r="F18" s="52"/>
      <c r="G18" s="93"/>
    </row>
    <row r="19" spans="2:7" ht="15.75" customHeight="1" x14ac:dyDescent="0.15">
      <c r="B19" s="84">
        <v>9</v>
      </c>
      <c r="C19" s="60"/>
      <c r="D19" s="58"/>
      <c r="E19" s="51"/>
      <c r="F19" s="52"/>
      <c r="G19" s="93"/>
    </row>
    <row r="20" spans="2:7" ht="15.75" customHeight="1" x14ac:dyDescent="0.15">
      <c r="B20" s="84">
        <v>10</v>
      </c>
      <c r="C20" s="60"/>
      <c r="D20" s="58"/>
      <c r="E20" s="51"/>
      <c r="F20" s="52"/>
      <c r="G20" s="93"/>
    </row>
    <row r="21" spans="2:7" ht="15.75" customHeight="1" x14ac:dyDescent="0.15">
      <c r="B21" s="84">
        <v>11</v>
      </c>
      <c r="C21" s="60"/>
      <c r="D21" s="58"/>
      <c r="E21" s="51"/>
      <c r="F21" s="52"/>
      <c r="G21" s="93"/>
    </row>
    <row r="22" spans="2:7" ht="15.75" customHeight="1" x14ac:dyDescent="0.15">
      <c r="B22" s="84">
        <v>12</v>
      </c>
      <c r="C22" s="60"/>
      <c r="D22" s="58"/>
      <c r="E22" s="51"/>
      <c r="F22" s="52"/>
      <c r="G22" s="93"/>
    </row>
    <row r="23" spans="2:7" ht="15.75" customHeight="1" x14ac:dyDescent="0.15">
      <c r="B23" s="84">
        <v>13</v>
      </c>
      <c r="C23" s="60"/>
      <c r="D23" s="58"/>
      <c r="E23" s="51"/>
      <c r="F23" s="52"/>
      <c r="G23" s="93"/>
    </row>
    <row r="24" spans="2:7" ht="15.75" customHeight="1" x14ac:dyDescent="0.15">
      <c r="B24" s="84">
        <v>14</v>
      </c>
      <c r="C24" s="60"/>
      <c r="D24" s="58"/>
      <c r="E24" s="51"/>
      <c r="F24" s="52"/>
      <c r="G24" s="93"/>
    </row>
    <row r="25" spans="2:7" ht="15.75" customHeight="1" x14ac:dyDescent="0.15">
      <c r="B25" s="84">
        <v>15</v>
      </c>
      <c r="C25" s="60"/>
      <c r="D25" s="58"/>
      <c r="E25" s="51"/>
      <c r="F25" s="52"/>
      <c r="G25" s="93"/>
    </row>
    <row r="26" spans="2:7" ht="15.75" customHeight="1" x14ac:dyDescent="0.15">
      <c r="B26" s="84">
        <v>16</v>
      </c>
      <c r="C26" s="60"/>
      <c r="D26" s="58"/>
      <c r="E26" s="51"/>
      <c r="F26" s="52"/>
      <c r="G26" s="93"/>
    </row>
    <row r="27" spans="2:7" ht="15.75" customHeight="1" x14ac:dyDescent="0.15">
      <c r="B27" s="84">
        <v>17</v>
      </c>
      <c r="C27" s="60"/>
      <c r="D27" s="58"/>
      <c r="E27" s="51"/>
      <c r="F27" s="52"/>
      <c r="G27" s="93"/>
    </row>
    <row r="28" spans="2:7" ht="15.75" customHeight="1" x14ac:dyDescent="0.15">
      <c r="B28" s="84">
        <v>18</v>
      </c>
      <c r="C28" s="60"/>
      <c r="D28" s="58"/>
      <c r="E28" s="51"/>
      <c r="F28" s="52"/>
      <c r="G28" s="93"/>
    </row>
    <row r="29" spans="2:7" ht="15.75" customHeight="1" x14ac:dyDescent="0.15">
      <c r="B29" s="84">
        <v>19</v>
      </c>
      <c r="C29" s="60"/>
      <c r="D29" s="58"/>
      <c r="E29" s="51"/>
      <c r="F29" s="52"/>
      <c r="G29" s="93"/>
    </row>
    <row r="30" spans="2:7" ht="15.75" customHeight="1" x14ac:dyDescent="0.15">
      <c r="B30" s="84">
        <v>20</v>
      </c>
      <c r="C30" s="60"/>
      <c r="D30" s="58"/>
      <c r="E30" s="51"/>
      <c r="F30" s="52"/>
      <c r="G30" s="93"/>
    </row>
    <row r="31" spans="2:7" ht="15.75" customHeight="1" x14ac:dyDescent="0.15">
      <c r="B31" s="84">
        <v>21</v>
      </c>
      <c r="C31" s="60"/>
      <c r="D31" s="58"/>
      <c r="E31" s="51"/>
      <c r="F31" s="52"/>
      <c r="G31" s="93"/>
    </row>
    <row r="32" spans="2:7" ht="15.75" customHeight="1" x14ac:dyDescent="0.15">
      <c r="B32" s="84">
        <v>22</v>
      </c>
      <c r="C32" s="60"/>
      <c r="D32" s="58"/>
      <c r="E32" s="51"/>
      <c r="F32" s="52"/>
      <c r="G32" s="93"/>
    </row>
    <row r="33" spans="2:7" ht="15.75" customHeight="1" x14ac:dyDescent="0.15">
      <c r="B33" s="84">
        <v>23</v>
      </c>
      <c r="C33" s="60"/>
      <c r="D33" s="58"/>
      <c r="E33" s="51"/>
      <c r="F33" s="52"/>
      <c r="G33" s="93"/>
    </row>
    <row r="34" spans="2:7" ht="15.75" customHeight="1" x14ac:dyDescent="0.15">
      <c r="B34" s="84">
        <v>24</v>
      </c>
      <c r="C34" s="60"/>
      <c r="D34" s="58"/>
      <c r="E34" s="51"/>
      <c r="F34" s="52"/>
      <c r="G34" s="93"/>
    </row>
    <row r="35" spans="2:7" ht="15.75" customHeight="1" x14ac:dyDescent="0.15">
      <c r="B35" s="84">
        <v>25</v>
      </c>
      <c r="C35" s="60"/>
      <c r="D35" s="58"/>
      <c r="E35" s="51"/>
      <c r="F35" s="52"/>
      <c r="G35" s="93"/>
    </row>
    <row r="36" spans="2:7" ht="15.75" customHeight="1" x14ac:dyDescent="0.15">
      <c r="B36" s="84">
        <v>26</v>
      </c>
      <c r="C36" s="60"/>
      <c r="D36" s="58"/>
      <c r="E36" s="51"/>
      <c r="F36" s="52"/>
      <c r="G36" s="93"/>
    </row>
    <row r="37" spans="2:7" ht="15.75" customHeight="1" x14ac:dyDescent="0.15">
      <c r="B37" s="84">
        <v>27</v>
      </c>
      <c r="C37" s="60"/>
      <c r="D37" s="58"/>
      <c r="E37" s="51"/>
      <c r="F37" s="52"/>
      <c r="G37" s="93"/>
    </row>
    <row r="38" spans="2:7" ht="15.75" customHeight="1" x14ac:dyDescent="0.15">
      <c r="B38" s="84">
        <v>28</v>
      </c>
      <c r="C38" s="60"/>
      <c r="D38" s="58"/>
      <c r="E38" s="51"/>
      <c r="F38" s="52"/>
      <c r="G38" s="93"/>
    </row>
    <row r="39" spans="2:7" ht="15.75" customHeight="1" x14ac:dyDescent="0.15">
      <c r="B39" s="84">
        <v>29</v>
      </c>
      <c r="C39" s="60"/>
      <c r="D39" s="58"/>
      <c r="E39" s="51"/>
      <c r="F39" s="52"/>
      <c r="G39" s="93"/>
    </row>
    <row r="40" spans="2:7" ht="15.75" customHeight="1" x14ac:dyDescent="0.15">
      <c r="B40" s="84">
        <v>30</v>
      </c>
      <c r="C40" s="60"/>
      <c r="D40" s="58"/>
      <c r="E40" s="51"/>
      <c r="F40" s="52"/>
      <c r="G40" s="93"/>
    </row>
    <row r="41" spans="2:7" ht="15.75" customHeight="1" x14ac:dyDescent="0.15">
      <c r="B41" s="84">
        <v>31</v>
      </c>
      <c r="C41" s="60"/>
      <c r="D41" s="58"/>
      <c r="E41" s="51"/>
      <c r="F41" s="52"/>
      <c r="G41" s="93"/>
    </row>
    <row r="42" spans="2:7" ht="15.75" customHeight="1" x14ac:dyDescent="0.15">
      <c r="B42" s="84">
        <v>32</v>
      </c>
      <c r="C42" s="60"/>
      <c r="D42" s="58"/>
      <c r="E42" s="51"/>
      <c r="F42" s="52"/>
      <c r="G42" s="93"/>
    </row>
    <row r="43" spans="2:7" ht="15.75" customHeight="1" x14ac:dyDescent="0.15">
      <c r="B43" s="84">
        <v>33</v>
      </c>
      <c r="C43" s="60"/>
      <c r="D43" s="58"/>
      <c r="E43" s="51"/>
      <c r="F43" s="52"/>
      <c r="G43" s="93"/>
    </row>
    <row r="44" spans="2:7" ht="15.75" customHeight="1" x14ac:dyDescent="0.15">
      <c r="B44" s="84">
        <v>34</v>
      </c>
      <c r="C44" s="60"/>
      <c r="D44" s="58"/>
      <c r="E44" s="51"/>
      <c r="F44" s="52"/>
      <c r="G44" s="93"/>
    </row>
    <row r="45" spans="2:7" ht="15.75" customHeight="1" x14ac:dyDescent="0.15">
      <c r="B45" s="84">
        <v>35</v>
      </c>
      <c r="C45" s="60"/>
      <c r="D45" s="58"/>
      <c r="E45" s="51"/>
      <c r="F45" s="52"/>
      <c r="G45" s="93"/>
    </row>
    <row r="46" spans="2:7" ht="15.75" customHeight="1" x14ac:dyDescent="0.15">
      <c r="B46" s="84">
        <v>36</v>
      </c>
      <c r="C46" s="60"/>
      <c r="D46" s="58"/>
      <c r="E46" s="51"/>
      <c r="F46" s="52"/>
      <c r="G46" s="93"/>
    </row>
    <row r="47" spans="2:7" ht="15.75" customHeight="1" x14ac:dyDescent="0.15">
      <c r="B47" s="84">
        <v>37</v>
      </c>
      <c r="C47" s="60"/>
      <c r="D47" s="58"/>
      <c r="E47" s="51"/>
      <c r="F47" s="52"/>
      <c r="G47" s="93"/>
    </row>
    <row r="48" spans="2:7" ht="15.75" customHeight="1" x14ac:dyDescent="0.15">
      <c r="B48" s="84">
        <v>38</v>
      </c>
      <c r="C48" s="60"/>
      <c r="D48" s="58"/>
      <c r="E48" s="51"/>
      <c r="F48" s="52"/>
      <c r="G48" s="93"/>
    </row>
    <row r="49" spans="2:7" ht="15.75" customHeight="1" x14ac:dyDescent="0.15">
      <c r="B49" s="84">
        <v>39</v>
      </c>
      <c r="C49" s="60"/>
      <c r="D49" s="58"/>
      <c r="E49" s="51"/>
      <c r="F49" s="52"/>
      <c r="G49" s="93"/>
    </row>
    <row r="50" spans="2:7" ht="15.75" customHeight="1" x14ac:dyDescent="0.15">
      <c r="B50" s="84">
        <v>40</v>
      </c>
      <c r="C50" s="60"/>
      <c r="D50" s="58"/>
      <c r="E50" s="51"/>
      <c r="F50" s="52"/>
      <c r="G50" s="93"/>
    </row>
    <row r="51" spans="2:7" ht="15.75" customHeight="1" x14ac:dyDescent="0.15">
      <c r="B51" s="84">
        <v>41</v>
      </c>
      <c r="C51" s="60"/>
      <c r="D51" s="58"/>
      <c r="E51" s="51"/>
      <c r="F51" s="52"/>
      <c r="G51" s="93"/>
    </row>
    <row r="52" spans="2:7" ht="15.75" customHeight="1" x14ac:dyDescent="0.15">
      <c r="B52" s="84">
        <v>42</v>
      </c>
      <c r="C52" s="60"/>
      <c r="D52" s="58"/>
      <c r="E52" s="51"/>
      <c r="F52" s="52"/>
      <c r="G52" s="93"/>
    </row>
    <row r="53" spans="2:7" ht="15.75" customHeight="1" x14ac:dyDescent="0.15">
      <c r="B53" s="84">
        <v>43</v>
      </c>
      <c r="C53" s="60"/>
      <c r="D53" s="58"/>
      <c r="E53" s="51"/>
      <c r="F53" s="52"/>
      <c r="G53" s="93"/>
    </row>
    <row r="54" spans="2:7" ht="15.75" customHeight="1" x14ac:dyDescent="0.15">
      <c r="B54" s="84">
        <v>44</v>
      </c>
      <c r="C54" s="60"/>
      <c r="D54" s="58"/>
      <c r="E54" s="51"/>
      <c r="F54" s="52"/>
      <c r="G54" s="93"/>
    </row>
    <row r="55" spans="2:7" ht="15.75" customHeight="1" x14ac:dyDescent="0.15">
      <c r="B55" s="84">
        <v>45</v>
      </c>
      <c r="C55" s="60"/>
      <c r="D55" s="58"/>
      <c r="E55" s="51"/>
      <c r="F55" s="52"/>
      <c r="G55" s="93"/>
    </row>
    <row r="56" spans="2:7" ht="15.75" customHeight="1" x14ac:dyDescent="0.15">
      <c r="B56" s="84">
        <v>46</v>
      </c>
      <c r="C56" s="60"/>
      <c r="D56" s="58"/>
      <c r="E56" s="51"/>
      <c r="F56" s="52"/>
      <c r="G56" s="93"/>
    </row>
    <row r="57" spans="2:7" ht="15.75" customHeight="1" x14ac:dyDescent="0.15">
      <c r="B57" s="84">
        <v>47</v>
      </c>
      <c r="C57" s="60"/>
      <c r="D57" s="58"/>
      <c r="E57" s="51"/>
      <c r="F57" s="52"/>
      <c r="G57" s="93"/>
    </row>
    <row r="58" spans="2:7" ht="15.75" customHeight="1" x14ac:dyDescent="0.15">
      <c r="B58" s="84">
        <v>48</v>
      </c>
      <c r="C58" s="60"/>
      <c r="D58" s="58"/>
      <c r="E58" s="51"/>
      <c r="F58" s="52"/>
      <c r="G58" s="93"/>
    </row>
    <row r="59" spans="2:7" ht="15.75" customHeight="1" x14ac:dyDescent="0.15">
      <c r="B59" s="84">
        <v>49</v>
      </c>
      <c r="C59" s="60"/>
      <c r="D59" s="58"/>
      <c r="E59" s="51"/>
      <c r="F59" s="52"/>
      <c r="G59" s="93"/>
    </row>
    <row r="60" spans="2:7" ht="15.75" customHeight="1" x14ac:dyDescent="0.15">
      <c r="B60" s="84">
        <v>50</v>
      </c>
      <c r="C60" s="60"/>
      <c r="D60" s="58"/>
      <c r="E60" s="51"/>
      <c r="F60" s="52"/>
      <c r="G60" s="93"/>
    </row>
    <row r="61" spans="2:7" ht="15.75" customHeight="1" x14ac:dyDescent="0.15">
      <c r="B61" s="84">
        <v>51</v>
      </c>
      <c r="C61" s="60"/>
      <c r="D61" s="58"/>
      <c r="E61" s="51"/>
      <c r="F61" s="52"/>
      <c r="G61" s="93"/>
    </row>
    <row r="62" spans="2:7" ht="15.75" customHeight="1" x14ac:dyDescent="0.15">
      <c r="B62" s="84">
        <v>52</v>
      </c>
      <c r="C62" s="60"/>
      <c r="D62" s="58"/>
      <c r="E62" s="51"/>
      <c r="F62" s="52"/>
      <c r="G62" s="93"/>
    </row>
    <row r="63" spans="2:7" ht="15.75" customHeight="1" x14ac:dyDescent="0.15">
      <c r="B63" s="84">
        <v>53</v>
      </c>
      <c r="C63" s="60"/>
      <c r="D63" s="58"/>
      <c r="E63" s="51"/>
      <c r="F63" s="52"/>
      <c r="G63" s="93"/>
    </row>
    <row r="64" spans="2:7" ht="15.75" customHeight="1" x14ac:dyDescent="0.15">
      <c r="B64" s="84">
        <v>54</v>
      </c>
      <c r="C64" s="60"/>
      <c r="D64" s="58"/>
      <c r="E64" s="51"/>
      <c r="F64" s="52"/>
      <c r="G64" s="93"/>
    </row>
    <row r="65" spans="2:7" ht="15.75" customHeight="1" x14ac:dyDescent="0.15">
      <c r="B65" s="84">
        <v>55</v>
      </c>
      <c r="C65" s="60"/>
      <c r="D65" s="58"/>
      <c r="E65" s="51"/>
      <c r="F65" s="52"/>
      <c r="G65" s="93"/>
    </row>
    <row r="66" spans="2:7" ht="15.75" customHeight="1" x14ac:dyDescent="0.15">
      <c r="B66" s="84">
        <v>56</v>
      </c>
      <c r="C66" s="60"/>
      <c r="D66" s="58"/>
      <c r="E66" s="51"/>
      <c r="F66" s="52"/>
      <c r="G66" s="93"/>
    </row>
    <row r="67" spans="2:7" ht="15.75" customHeight="1" x14ac:dyDescent="0.15">
      <c r="B67" s="84">
        <v>57</v>
      </c>
      <c r="C67" s="60"/>
      <c r="D67" s="58"/>
      <c r="E67" s="51"/>
      <c r="F67" s="52"/>
      <c r="G67" s="93"/>
    </row>
    <row r="68" spans="2:7" ht="15.75" customHeight="1" x14ac:dyDescent="0.15">
      <c r="B68" s="84">
        <v>58</v>
      </c>
      <c r="C68" s="60"/>
      <c r="D68" s="58"/>
      <c r="E68" s="51"/>
      <c r="F68" s="52"/>
      <c r="G68" s="93"/>
    </row>
    <row r="69" spans="2:7" ht="15.75" customHeight="1" x14ac:dyDescent="0.15">
      <c r="B69" s="85">
        <v>59</v>
      </c>
      <c r="C69" s="61"/>
      <c r="D69" s="59"/>
      <c r="E69" s="53"/>
      <c r="F69" s="54"/>
      <c r="G69" s="94"/>
    </row>
    <row r="70" spans="2:7" ht="15.75" customHeight="1" x14ac:dyDescent="0.15">
      <c r="C70" s="20"/>
    </row>
    <row r="71" spans="2:7" ht="15.75" customHeight="1" x14ac:dyDescent="0.15">
      <c r="C71" s="20"/>
    </row>
    <row r="72" spans="2:7" ht="15.75" customHeight="1" x14ac:dyDescent="0.15">
      <c r="C72" s="20"/>
    </row>
  </sheetData>
  <mergeCells count="7">
    <mergeCell ref="G8:G10"/>
    <mergeCell ref="E9:F9"/>
    <mergeCell ref="B3:C3"/>
    <mergeCell ref="B4:C4"/>
    <mergeCell ref="B8:B10"/>
    <mergeCell ref="C8:C9"/>
    <mergeCell ref="D8:F8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構造物と地盤の動的相互作用を考慮した補正係数の計算">
                <anchor moveWithCells="1">
                  <from>
                    <xdr:col>3</xdr:col>
                    <xdr:colOff>304800</xdr:colOff>
                    <xdr:row>1</xdr:row>
                    <xdr:rowOff>190500</xdr:rowOff>
                  </from>
                  <to>
                    <xdr:col>7</xdr:col>
                    <xdr:colOff>400050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動的相互Sheet"/>
  <dimension ref="A1:AI116"/>
  <sheetViews>
    <sheetView view="pageBreakPreview" topLeftCell="A95" zoomScaleNormal="100" zoomScaleSheetLayoutView="100" workbookViewId="0">
      <selection activeCell="T114" sqref="T114:X114"/>
    </sheetView>
  </sheetViews>
  <sheetFormatPr defaultColWidth="2.625" defaultRowHeight="15.75" customHeight="1" x14ac:dyDescent="0.15"/>
  <cols>
    <col min="1" max="1" width="6" style="86" customWidth="1"/>
    <col min="2" max="16384" width="2.625" style="86"/>
  </cols>
  <sheetData>
    <row r="1" spans="1:30" ht="15.75" customHeight="1" x14ac:dyDescent="0.15">
      <c r="F1" s="80" t="s">
        <v>117</v>
      </c>
      <c r="G1" s="86" t="s">
        <v>102</v>
      </c>
      <c r="H1" s="86" t="s">
        <v>103</v>
      </c>
      <c r="O1" s="80"/>
      <c r="P1" s="86" t="s">
        <v>102</v>
      </c>
      <c r="Q1" s="86" t="s">
        <v>104</v>
      </c>
    </row>
    <row r="3" spans="1:30" ht="15.75" customHeight="1" x14ac:dyDescent="0.15">
      <c r="C3" s="86" t="s">
        <v>60</v>
      </c>
    </row>
    <row r="5" spans="1:30" ht="15.75" customHeight="1" x14ac:dyDescent="0.15">
      <c r="D5" s="86" t="s">
        <v>91</v>
      </c>
    </row>
    <row r="8" spans="1:30" ht="15.75" customHeight="1" x14ac:dyDescent="0.15">
      <c r="E8" s="171" t="s">
        <v>0</v>
      </c>
      <c r="F8" s="171"/>
      <c r="G8" s="171"/>
      <c r="H8" s="171" t="s">
        <v>40</v>
      </c>
      <c r="I8" s="171"/>
      <c r="J8" s="171"/>
      <c r="K8" s="171" t="s">
        <v>113</v>
      </c>
      <c r="L8" s="171"/>
      <c r="M8" s="171"/>
      <c r="N8" s="172" t="s">
        <v>112</v>
      </c>
      <c r="O8" s="172"/>
      <c r="P8" s="172"/>
      <c r="Q8" s="172" t="s">
        <v>111</v>
      </c>
      <c r="R8" s="172"/>
      <c r="S8" s="172"/>
      <c r="T8" s="172"/>
      <c r="U8" s="97" t="s">
        <v>31</v>
      </c>
      <c r="V8" s="96"/>
      <c r="W8" s="96"/>
      <c r="X8" s="96"/>
      <c r="Y8" s="96"/>
      <c r="Z8" s="96"/>
      <c r="AA8" s="96"/>
      <c r="AB8" s="96"/>
      <c r="AC8" s="96"/>
      <c r="AD8" s="96"/>
    </row>
    <row r="9" spans="1:30" ht="15.75" customHeight="1" x14ac:dyDescent="0.15">
      <c r="E9" s="171"/>
      <c r="F9" s="171"/>
      <c r="G9" s="171"/>
      <c r="H9" s="171"/>
      <c r="I9" s="171"/>
      <c r="J9" s="171"/>
      <c r="K9" s="171"/>
      <c r="L9" s="171"/>
      <c r="M9" s="171"/>
      <c r="N9" s="172"/>
      <c r="O9" s="172"/>
      <c r="P9" s="172"/>
      <c r="Q9" s="172"/>
      <c r="R9" s="172"/>
      <c r="S9" s="172"/>
      <c r="T9" s="172"/>
      <c r="U9" s="170" t="s">
        <v>42</v>
      </c>
      <c r="V9" s="170"/>
      <c r="W9" s="170"/>
      <c r="X9" s="170"/>
      <c r="Y9" s="170"/>
      <c r="Z9" s="170" t="s">
        <v>44</v>
      </c>
      <c r="AA9" s="170"/>
      <c r="AB9" s="170"/>
      <c r="AC9" s="170"/>
      <c r="AD9" s="170"/>
    </row>
    <row r="10" spans="1:30" ht="15.75" customHeight="1" x14ac:dyDescent="0.15">
      <c r="E10" s="171"/>
      <c r="F10" s="171"/>
      <c r="G10" s="171"/>
      <c r="H10" s="171"/>
      <c r="I10" s="171"/>
      <c r="J10" s="171"/>
      <c r="K10" s="171" t="s">
        <v>114</v>
      </c>
      <c r="L10" s="171"/>
      <c r="M10" s="171"/>
      <c r="N10" s="172" t="s">
        <v>115</v>
      </c>
      <c r="O10" s="172"/>
      <c r="P10" s="172"/>
      <c r="Q10" s="172" t="s">
        <v>116</v>
      </c>
      <c r="R10" s="172"/>
      <c r="S10" s="172"/>
      <c r="T10" s="172"/>
      <c r="U10" s="170" t="s">
        <v>86</v>
      </c>
      <c r="V10" s="170"/>
      <c r="W10" s="170"/>
      <c r="X10" s="170"/>
      <c r="Y10" s="170"/>
      <c r="Z10" s="170" t="s">
        <v>86</v>
      </c>
      <c r="AA10" s="170"/>
      <c r="AB10" s="170"/>
      <c r="AC10" s="170"/>
      <c r="AD10" s="170"/>
    </row>
    <row r="11" spans="1:30" ht="15.75" customHeight="1" x14ac:dyDescent="0.15">
      <c r="E11" s="171"/>
      <c r="F11" s="171"/>
      <c r="G11" s="171"/>
      <c r="H11" s="170" t="s">
        <v>87</v>
      </c>
      <c r="I11" s="170"/>
      <c r="J11" s="170"/>
      <c r="K11" s="170" t="s">
        <v>87</v>
      </c>
      <c r="L11" s="170"/>
      <c r="M11" s="170"/>
      <c r="N11" s="170" t="s">
        <v>33</v>
      </c>
      <c r="O11" s="170"/>
      <c r="P11" s="170"/>
      <c r="Q11" s="170" t="s">
        <v>34</v>
      </c>
      <c r="R11" s="170"/>
      <c r="S11" s="170"/>
      <c r="T11" s="170"/>
      <c r="U11" s="170" t="s">
        <v>35</v>
      </c>
      <c r="V11" s="170"/>
      <c r="W11" s="170"/>
      <c r="X11" s="170"/>
      <c r="Y11" s="170"/>
      <c r="Z11" s="170" t="s">
        <v>35</v>
      </c>
      <c r="AA11" s="170"/>
      <c r="AB11" s="170"/>
      <c r="AC11" s="170"/>
      <c r="AD11" s="170"/>
    </row>
    <row r="12" spans="1:30" ht="15.75" customHeight="1" x14ac:dyDescent="0.15">
      <c r="E12" s="167" t="str">
        <f>IF('入力 (1)'!B13="","",'入力 (1)'!B13)</f>
        <v>表層</v>
      </c>
      <c r="F12" s="167"/>
      <c r="G12" s="167"/>
      <c r="H12" s="168" t="str">
        <f>IF('入力 (1)'!C13="","",'入力 (1)'!C13)</f>
        <v/>
      </c>
      <c r="I12" s="168"/>
      <c r="J12" s="168"/>
      <c r="K12" s="168">
        <f>SUM(H$12:J12)</f>
        <v>0</v>
      </c>
      <c r="L12" s="168"/>
      <c r="M12" s="168"/>
      <c r="N12" s="169" t="str">
        <f>IF('入力 (1)'!D13="","",'入力 (1)'!D13)</f>
        <v/>
      </c>
      <c r="O12" s="169"/>
      <c r="P12" s="169"/>
      <c r="Q12" s="169" t="str">
        <f>IF('入力 (1)'!E13="","",'入力 (1)'!E13)</f>
        <v/>
      </c>
      <c r="R12" s="169"/>
      <c r="S12" s="169"/>
      <c r="T12" s="169"/>
      <c r="U12" s="166">
        <f>IF('入力 (1)'!F13="","",ROUND('入力 (1)'!F13,2))</f>
        <v>6.8</v>
      </c>
      <c r="V12" s="166"/>
      <c r="W12" s="166"/>
      <c r="X12" s="166"/>
      <c r="Y12" s="166"/>
      <c r="Z12" s="166">
        <f>IF('入力 (1)'!H13="","",ROUND('入力 (1)'!H13,2))</f>
        <v>141.96</v>
      </c>
      <c r="AA12" s="166"/>
      <c r="AB12" s="166"/>
      <c r="AC12" s="166"/>
      <c r="AD12" s="166"/>
    </row>
    <row r="13" spans="1:30" ht="15.75" customHeight="1" x14ac:dyDescent="0.15">
      <c r="A13" s="80" t="str">
        <f t="shared" ref="A13:A44" si="0">IF(H13="","×","")</f>
        <v/>
      </c>
      <c r="E13" s="167">
        <f>IF('入力 (1)'!B14="","",'入力 (1)'!B14)</f>
        <v>1</v>
      </c>
      <c r="F13" s="167"/>
      <c r="G13" s="167"/>
      <c r="H13" s="168">
        <f>IF('入力 (1)'!C14="","",'入力 (1)'!C14)</f>
        <v>1.9</v>
      </c>
      <c r="I13" s="168"/>
      <c r="J13" s="168"/>
      <c r="K13" s="168">
        <f>SUM(H$12:J13)</f>
        <v>1.9</v>
      </c>
      <c r="L13" s="168"/>
      <c r="M13" s="168"/>
      <c r="N13" s="169">
        <f>IF('入力 (1)'!D14="","",'入力 (1)'!D14)</f>
        <v>18</v>
      </c>
      <c r="O13" s="169"/>
      <c r="P13" s="169"/>
      <c r="Q13" s="169">
        <f>IF('入力 (1)'!E14="","",'入力 (1)'!E14)</f>
        <v>100</v>
      </c>
      <c r="R13" s="169"/>
      <c r="S13" s="169"/>
      <c r="T13" s="169"/>
      <c r="U13" s="166">
        <f>IF('入力 (1)'!F14="","",ROUND('入力 (1)'!F14,2))</f>
        <v>6.39</v>
      </c>
      <c r="V13" s="166"/>
      <c r="W13" s="166"/>
      <c r="X13" s="166"/>
      <c r="Y13" s="166"/>
      <c r="Z13" s="166">
        <f>IF('入力 (1)'!H14="","",ROUND('入力 (1)'!H14,2))</f>
        <v>133.47999999999999</v>
      </c>
      <c r="AA13" s="166"/>
      <c r="AB13" s="166"/>
      <c r="AC13" s="166"/>
      <c r="AD13" s="166"/>
    </row>
    <row r="14" spans="1:30" ht="15.75" customHeight="1" x14ac:dyDescent="0.15">
      <c r="A14" s="80" t="str">
        <f t="shared" si="0"/>
        <v/>
      </c>
      <c r="E14" s="167">
        <f>IF('入力 (1)'!B15="","",'入力 (1)'!B15)</f>
        <v>2</v>
      </c>
      <c r="F14" s="167"/>
      <c r="G14" s="167"/>
      <c r="H14" s="168">
        <f>IF('入力 (1)'!C15="","",'入力 (1)'!C15)</f>
        <v>1</v>
      </c>
      <c r="I14" s="168"/>
      <c r="J14" s="168"/>
      <c r="K14" s="168">
        <f>SUM(H$12:J14)</f>
        <v>2.9</v>
      </c>
      <c r="L14" s="168"/>
      <c r="M14" s="168"/>
      <c r="N14" s="169">
        <f>IF('入力 (1)'!D15="","",'入力 (1)'!D15)</f>
        <v>16</v>
      </c>
      <c r="O14" s="169"/>
      <c r="P14" s="169"/>
      <c r="Q14" s="169">
        <f>IF('入力 (1)'!E15="","",'入力 (1)'!E15)</f>
        <v>170</v>
      </c>
      <c r="R14" s="169"/>
      <c r="S14" s="169"/>
      <c r="T14" s="169"/>
      <c r="U14" s="166">
        <f>IF('入力 (1)'!F15="","",ROUND('入力 (1)'!F15,2))</f>
        <v>6.19</v>
      </c>
      <c r="V14" s="166"/>
      <c r="W14" s="166"/>
      <c r="X14" s="166"/>
      <c r="Y14" s="166"/>
      <c r="Z14" s="166">
        <f>IF('入力 (1)'!H15="","",ROUND('入力 (1)'!H15,2))</f>
        <v>129.28</v>
      </c>
      <c r="AA14" s="166"/>
      <c r="AB14" s="166"/>
      <c r="AC14" s="166"/>
      <c r="AD14" s="166"/>
    </row>
    <row r="15" spans="1:30" ht="15.75" customHeight="1" x14ac:dyDescent="0.15">
      <c r="A15" s="80" t="str">
        <f t="shared" si="0"/>
        <v/>
      </c>
      <c r="E15" s="167">
        <f>IF('入力 (1)'!B16="","",'入力 (1)'!B16)</f>
        <v>2</v>
      </c>
      <c r="F15" s="167"/>
      <c r="G15" s="167"/>
      <c r="H15" s="168">
        <f>IF('入力 (1)'!C16="","",'入力 (1)'!C16)</f>
        <v>1</v>
      </c>
      <c r="I15" s="168"/>
      <c r="J15" s="168"/>
      <c r="K15" s="168">
        <f>SUM(H$12:J15)</f>
        <v>3.9</v>
      </c>
      <c r="L15" s="168"/>
      <c r="M15" s="168"/>
      <c r="N15" s="169" t="str">
        <f>IF('入力 (1)'!D16="","",'入力 (1)'!D16)</f>
        <v/>
      </c>
      <c r="O15" s="169"/>
      <c r="P15" s="169"/>
      <c r="Q15" s="169" t="str">
        <f>IF('入力 (1)'!E16="","",'入力 (1)'!E16)</f>
        <v/>
      </c>
      <c r="R15" s="169"/>
      <c r="S15" s="169"/>
      <c r="T15" s="169"/>
      <c r="U15" s="166">
        <f>IF('入力 (1)'!F16="","",ROUND('入力 (1)'!F16,2))</f>
        <v>5.92</v>
      </c>
      <c r="V15" s="166"/>
      <c r="W15" s="166"/>
      <c r="X15" s="166"/>
      <c r="Y15" s="166"/>
      <c r="Z15" s="166">
        <f>IF('入力 (1)'!H16="","",ROUND('入力 (1)'!H16,2))</f>
        <v>123.58</v>
      </c>
      <c r="AA15" s="166"/>
      <c r="AB15" s="166"/>
      <c r="AC15" s="166"/>
      <c r="AD15" s="166"/>
    </row>
    <row r="16" spans="1:30" ht="15.75" customHeight="1" x14ac:dyDescent="0.15">
      <c r="A16" s="80" t="str">
        <f t="shared" si="0"/>
        <v/>
      </c>
      <c r="E16" s="167">
        <f>IF('入力 (1)'!B17="","",'入力 (1)'!B17)</f>
        <v>2</v>
      </c>
      <c r="F16" s="167"/>
      <c r="G16" s="167"/>
      <c r="H16" s="168">
        <f>IF('入力 (1)'!C17="","",'入力 (1)'!C17)</f>
        <v>1</v>
      </c>
      <c r="I16" s="168"/>
      <c r="J16" s="168"/>
      <c r="K16" s="168">
        <f>SUM(H$12:J16)</f>
        <v>4.9000000000000004</v>
      </c>
      <c r="L16" s="168"/>
      <c r="M16" s="168"/>
      <c r="N16" s="169" t="str">
        <f>IF('入力 (1)'!D17="","",'入力 (1)'!D17)</f>
        <v/>
      </c>
      <c r="O16" s="169"/>
      <c r="P16" s="169"/>
      <c r="Q16" s="169" t="str">
        <f>IF('入力 (1)'!E17="","",'入力 (1)'!E17)</f>
        <v/>
      </c>
      <c r="R16" s="169"/>
      <c r="S16" s="169"/>
      <c r="T16" s="169"/>
      <c r="U16" s="166">
        <f>IF('入力 (1)'!F17="","",ROUND('入力 (1)'!F17,2))</f>
        <v>5.57</v>
      </c>
      <c r="V16" s="166"/>
      <c r="W16" s="166"/>
      <c r="X16" s="166"/>
      <c r="Y16" s="166"/>
      <c r="Z16" s="166">
        <f>IF('入力 (1)'!H17="","",ROUND('入力 (1)'!H17,2))</f>
        <v>116.46</v>
      </c>
      <c r="AA16" s="166"/>
      <c r="AB16" s="166"/>
      <c r="AC16" s="166"/>
      <c r="AD16" s="166"/>
    </row>
    <row r="17" spans="1:30" ht="15.75" customHeight="1" x14ac:dyDescent="0.15">
      <c r="A17" s="80" t="str">
        <f t="shared" si="0"/>
        <v/>
      </c>
      <c r="E17" s="167">
        <f>IF('入力 (1)'!B18="","",'入力 (1)'!B18)</f>
        <v>3</v>
      </c>
      <c r="F17" s="167"/>
      <c r="G17" s="167"/>
      <c r="H17" s="168">
        <f>IF('入力 (1)'!C18="","",'入力 (1)'!C18)</f>
        <v>1</v>
      </c>
      <c r="I17" s="168"/>
      <c r="J17" s="168"/>
      <c r="K17" s="168">
        <f>SUM(H$12:J17)</f>
        <v>5.9</v>
      </c>
      <c r="L17" s="168"/>
      <c r="M17" s="168"/>
      <c r="N17" s="169">
        <f>IF('入力 (1)'!D18="","",'入力 (1)'!D18)</f>
        <v>18</v>
      </c>
      <c r="O17" s="169"/>
      <c r="P17" s="169"/>
      <c r="Q17" s="169">
        <f>IF('入力 (1)'!E18="","",'入力 (1)'!E18)</f>
        <v>230</v>
      </c>
      <c r="R17" s="169"/>
      <c r="S17" s="169"/>
      <c r="T17" s="169"/>
      <c r="U17" s="166">
        <f>IF('入力 (1)'!F18="","",ROUND('入力 (1)'!F18,2))</f>
        <v>5.38</v>
      </c>
      <c r="V17" s="166"/>
      <c r="W17" s="166"/>
      <c r="X17" s="166"/>
      <c r="Y17" s="166"/>
      <c r="Z17" s="166">
        <f>IF('入力 (1)'!H18="","",ROUND('入力 (1)'!H18,2))</f>
        <v>112.3</v>
      </c>
      <c r="AA17" s="166"/>
      <c r="AB17" s="166"/>
      <c r="AC17" s="166"/>
      <c r="AD17" s="166"/>
    </row>
    <row r="18" spans="1:30" ht="15.75" customHeight="1" x14ac:dyDescent="0.15">
      <c r="A18" s="80" t="str">
        <f t="shared" si="0"/>
        <v/>
      </c>
      <c r="E18" s="167">
        <f>IF('入力 (1)'!B19="","",'入力 (1)'!B19)</f>
        <v>3</v>
      </c>
      <c r="F18" s="167"/>
      <c r="G18" s="167"/>
      <c r="H18" s="168">
        <f>IF('入力 (1)'!C19="","",'入力 (1)'!C19)</f>
        <v>1</v>
      </c>
      <c r="I18" s="168"/>
      <c r="J18" s="168"/>
      <c r="K18" s="168">
        <f>SUM(H$12:J18)</f>
        <v>6.9</v>
      </c>
      <c r="L18" s="168"/>
      <c r="M18" s="168"/>
      <c r="N18" s="169" t="str">
        <f>IF('入力 (1)'!D19="","",'入力 (1)'!D19)</f>
        <v/>
      </c>
      <c r="O18" s="169"/>
      <c r="P18" s="169"/>
      <c r="Q18" s="169" t="str">
        <f>IF('入力 (1)'!E19="","",'入力 (1)'!E19)</f>
        <v/>
      </c>
      <c r="R18" s="169"/>
      <c r="S18" s="169"/>
      <c r="T18" s="169"/>
      <c r="U18" s="166">
        <f>IF('入力 (1)'!F19="","",ROUND('入力 (1)'!F19,2))</f>
        <v>5.14</v>
      </c>
      <c r="V18" s="166"/>
      <c r="W18" s="166"/>
      <c r="X18" s="166"/>
      <c r="Y18" s="166"/>
      <c r="Z18" s="166">
        <f>IF('入力 (1)'!H19="","",ROUND('入力 (1)'!H19,2))</f>
        <v>107.43</v>
      </c>
      <c r="AA18" s="166"/>
      <c r="AB18" s="166"/>
      <c r="AC18" s="166"/>
      <c r="AD18" s="166"/>
    </row>
    <row r="19" spans="1:30" ht="15.75" customHeight="1" x14ac:dyDescent="0.15">
      <c r="A19" s="80" t="str">
        <f t="shared" si="0"/>
        <v/>
      </c>
      <c r="E19" s="167">
        <f>IF('入力 (1)'!B20="","",'入力 (1)'!B20)</f>
        <v>3</v>
      </c>
      <c r="F19" s="167"/>
      <c r="G19" s="167"/>
      <c r="H19" s="168">
        <f>IF('入力 (1)'!C20="","",'入力 (1)'!C20)</f>
        <v>1</v>
      </c>
      <c r="I19" s="168"/>
      <c r="J19" s="168"/>
      <c r="K19" s="168">
        <f>SUM(H$12:J19)</f>
        <v>7.9</v>
      </c>
      <c r="L19" s="168"/>
      <c r="M19" s="168"/>
      <c r="N19" s="169" t="str">
        <f>IF('入力 (1)'!D20="","",'入力 (1)'!D20)</f>
        <v/>
      </c>
      <c r="O19" s="169"/>
      <c r="P19" s="169"/>
      <c r="Q19" s="169" t="str">
        <f>IF('入力 (1)'!E20="","",'入力 (1)'!E20)</f>
        <v/>
      </c>
      <c r="R19" s="169"/>
      <c r="S19" s="169"/>
      <c r="T19" s="169"/>
      <c r="U19" s="166">
        <f>IF('入力 (1)'!F20="","",ROUND('入力 (1)'!F20,2))</f>
        <v>4.88</v>
      </c>
      <c r="V19" s="166"/>
      <c r="W19" s="166"/>
      <c r="X19" s="166"/>
      <c r="Y19" s="166"/>
      <c r="Z19" s="166">
        <f>IF('入力 (1)'!H20="","",ROUND('入力 (1)'!H20,2))</f>
        <v>101.89</v>
      </c>
      <c r="AA19" s="166"/>
      <c r="AB19" s="166"/>
      <c r="AC19" s="166"/>
      <c r="AD19" s="166"/>
    </row>
    <row r="20" spans="1:30" ht="15.75" customHeight="1" x14ac:dyDescent="0.15">
      <c r="A20" s="80" t="str">
        <f t="shared" si="0"/>
        <v/>
      </c>
      <c r="E20" s="167">
        <f>IF('入力 (1)'!B21="","",'入力 (1)'!B21)</f>
        <v>3</v>
      </c>
      <c r="F20" s="167"/>
      <c r="G20" s="167"/>
      <c r="H20" s="168">
        <f>IF('入力 (1)'!C21="","",'入力 (1)'!C21)</f>
        <v>1</v>
      </c>
      <c r="I20" s="168"/>
      <c r="J20" s="168"/>
      <c r="K20" s="168">
        <f>SUM(H$12:J20)</f>
        <v>8.9</v>
      </c>
      <c r="L20" s="168"/>
      <c r="M20" s="168"/>
      <c r="N20" s="169" t="str">
        <f>IF('入力 (1)'!D21="","",'入力 (1)'!D21)</f>
        <v/>
      </c>
      <c r="O20" s="169"/>
      <c r="P20" s="169"/>
      <c r="Q20" s="169" t="str">
        <f>IF('入力 (1)'!E21="","",'入力 (1)'!E21)</f>
        <v/>
      </c>
      <c r="R20" s="169"/>
      <c r="S20" s="169"/>
      <c r="T20" s="169"/>
      <c r="U20" s="166">
        <f>IF('入力 (1)'!F21="","",ROUND('入力 (1)'!F21,2))</f>
        <v>4.58</v>
      </c>
      <c r="V20" s="166"/>
      <c r="W20" s="166"/>
      <c r="X20" s="166"/>
      <c r="Y20" s="166"/>
      <c r="Z20" s="166">
        <f>IF('入力 (1)'!H21="","",ROUND('入力 (1)'!H21,2))</f>
        <v>95.7</v>
      </c>
      <c r="AA20" s="166"/>
      <c r="AB20" s="166"/>
      <c r="AC20" s="166"/>
      <c r="AD20" s="166"/>
    </row>
    <row r="21" spans="1:30" ht="15.75" customHeight="1" x14ac:dyDescent="0.15">
      <c r="A21" s="80" t="str">
        <f t="shared" si="0"/>
        <v/>
      </c>
      <c r="E21" s="167">
        <f>IF('入力 (1)'!B22="","",'入力 (1)'!B22)</f>
        <v>3</v>
      </c>
      <c r="F21" s="167"/>
      <c r="G21" s="167"/>
      <c r="H21" s="168">
        <f>IF('入力 (1)'!C22="","",'入力 (1)'!C22)</f>
        <v>1</v>
      </c>
      <c r="I21" s="168"/>
      <c r="J21" s="168"/>
      <c r="K21" s="168">
        <f>SUM(H$12:J21)</f>
        <v>9.9</v>
      </c>
      <c r="L21" s="168"/>
      <c r="M21" s="168"/>
      <c r="N21" s="169" t="str">
        <f>IF('入力 (1)'!D22="","",'入力 (1)'!D22)</f>
        <v/>
      </c>
      <c r="O21" s="169"/>
      <c r="P21" s="169"/>
      <c r="Q21" s="169" t="str">
        <f>IF('入力 (1)'!E22="","",'入力 (1)'!E22)</f>
        <v/>
      </c>
      <c r="R21" s="169"/>
      <c r="S21" s="169"/>
      <c r="T21" s="169"/>
      <c r="U21" s="166">
        <f>IF('入力 (1)'!F22="","",ROUND('入力 (1)'!F22,2))</f>
        <v>4.26</v>
      </c>
      <c r="V21" s="166"/>
      <c r="W21" s="166"/>
      <c r="X21" s="166"/>
      <c r="Y21" s="166"/>
      <c r="Z21" s="166">
        <f>IF('入力 (1)'!H22="","",ROUND('入力 (1)'!H22,2))</f>
        <v>88.91</v>
      </c>
      <c r="AA21" s="166"/>
      <c r="AB21" s="166"/>
      <c r="AC21" s="166"/>
      <c r="AD21" s="166"/>
    </row>
    <row r="22" spans="1:30" ht="15.75" customHeight="1" x14ac:dyDescent="0.15">
      <c r="A22" s="80" t="str">
        <f t="shared" si="0"/>
        <v/>
      </c>
      <c r="E22" s="167">
        <f>IF('入力 (1)'!B23="","",'入力 (1)'!B23)</f>
        <v>4</v>
      </c>
      <c r="F22" s="167"/>
      <c r="G22" s="167"/>
      <c r="H22" s="168">
        <f>IF('入力 (1)'!C23="","",'入力 (1)'!C23)</f>
        <v>1</v>
      </c>
      <c r="I22" s="168"/>
      <c r="J22" s="168"/>
      <c r="K22" s="168">
        <f>SUM(H$12:J22)</f>
        <v>10.9</v>
      </c>
      <c r="L22" s="168"/>
      <c r="M22" s="168"/>
      <c r="N22" s="169">
        <f>IF('入力 (1)'!D23="","",'入力 (1)'!D23)</f>
        <v>16</v>
      </c>
      <c r="O22" s="169"/>
      <c r="P22" s="169"/>
      <c r="Q22" s="169">
        <f>IF('入力 (1)'!E23="","",'入力 (1)'!E23)</f>
        <v>260</v>
      </c>
      <c r="R22" s="169"/>
      <c r="S22" s="169"/>
      <c r="T22" s="169"/>
      <c r="U22" s="166">
        <f>IF('入力 (1)'!F23="","",ROUND('入力 (1)'!F23,2))</f>
        <v>3.95</v>
      </c>
      <c r="V22" s="166"/>
      <c r="W22" s="166"/>
      <c r="X22" s="166"/>
      <c r="Y22" s="166"/>
      <c r="Z22" s="166">
        <f>IF('入力 (1)'!H23="","",ROUND('入力 (1)'!H23,2))</f>
        <v>82.46</v>
      </c>
      <c r="AA22" s="166"/>
      <c r="AB22" s="166"/>
      <c r="AC22" s="166"/>
      <c r="AD22" s="166"/>
    </row>
    <row r="23" spans="1:30" ht="15.75" customHeight="1" x14ac:dyDescent="0.15">
      <c r="A23" s="80" t="str">
        <f t="shared" si="0"/>
        <v/>
      </c>
      <c r="E23" s="167">
        <f>IF('入力 (1)'!B24="","",'入力 (1)'!B24)</f>
        <v>4</v>
      </c>
      <c r="F23" s="167"/>
      <c r="G23" s="167"/>
      <c r="H23" s="168">
        <f>IF('入力 (1)'!C24="","",'入力 (1)'!C24)</f>
        <v>1</v>
      </c>
      <c r="I23" s="168"/>
      <c r="J23" s="168"/>
      <c r="K23" s="168">
        <f>SUM(H$12:J23)</f>
        <v>11.9</v>
      </c>
      <c r="L23" s="168"/>
      <c r="M23" s="168"/>
      <c r="N23" s="169" t="str">
        <f>IF('入力 (1)'!D24="","",'入力 (1)'!D24)</f>
        <v/>
      </c>
      <c r="O23" s="169"/>
      <c r="P23" s="169"/>
      <c r="Q23" s="169" t="str">
        <f>IF('入力 (1)'!E24="","",'入力 (1)'!E24)</f>
        <v/>
      </c>
      <c r="R23" s="169"/>
      <c r="S23" s="169"/>
      <c r="T23" s="169"/>
      <c r="U23" s="166">
        <f>IF('入力 (1)'!F24="","",ROUND('入力 (1)'!F24,2))</f>
        <v>3.62</v>
      </c>
      <c r="V23" s="166"/>
      <c r="W23" s="166"/>
      <c r="X23" s="166"/>
      <c r="Y23" s="166"/>
      <c r="Z23" s="166">
        <f>IF('入力 (1)'!H24="","",ROUND('入力 (1)'!H24,2))</f>
        <v>75.61</v>
      </c>
      <c r="AA23" s="166"/>
      <c r="AB23" s="166"/>
      <c r="AC23" s="166"/>
      <c r="AD23" s="166"/>
    </row>
    <row r="24" spans="1:30" ht="15.75" customHeight="1" x14ac:dyDescent="0.15">
      <c r="A24" s="80" t="str">
        <f t="shared" si="0"/>
        <v/>
      </c>
      <c r="E24" s="167">
        <f>IF('入力 (1)'!B25="","",'入力 (1)'!B25)</f>
        <v>4</v>
      </c>
      <c r="F24" s="167"/>
      <c r="G24" s="167"/>
      <c r="H24" s="168">
        <f>IF('入力 (1)'!C25="","",'入力 (1)'!C25)</f>
        <v>1</v>
      </c>
      <c r="I24" s="168"/>
      <c r="J24" s="168"/>
      <c r="K24" s="168">
        <f>SUM(H$12:J24)</f>
        <v>12.9</v>
      </c>
      <c r="L24" s="168"/>
      <c r="M24" s="168"/>
      <c r="N24" s="169" t="str">
        <f>IF('入力 (1)'!D25="","",'入力 (1)'!D25)</f>
        <v/>
      </c>
      <c r="O24" s="169"/>
      <c r="P24" s="169"/>
      <c r="Q24" s="169" t="str">
        <f>IF('入力 (1)'!E25="","",'入力 (1)'!E25)</f>
        <v/>
      </c>
      <c r="R24" s="169"/>
      <c r="S24" s="169"/>
      <c r="T24" s="169"/>
      <c r="U24" s="166">
        <f>IF('入力 (1)'!F25="","",ROUND('入力 (1)'!F25,2))</f>
        <v>3.27</v>
      </c>
      <c r="V24" s="166"/>
      <c r="W24" s="166"/>
      <c r="X24" s="166"/>
      <c r="Y24" s="166"/>
      <c r="Z24" s="166">
        <f>IF('入力 (1)'!H25="","",ROUND('入力 (1)'!H25,2))</f>
        <v>68.38</v>
      </c>
      <c r="AA24" s="166"/>
      <c r="AB24" s="166"/>
      <c r="AC24" s="166"/>
      <c r="AD24" s="166"/>
    </row>
    <row r="25" spans="1:30" ht="15.75" customHeight="1" x14ac:dyDescent="0.15">
      <c r="A25" s="80" t="str">
        <f t="shared" si="0"/>
        <v/>
      </c>
      <c r="E25" s="167">
        <f>IF('入力 (1)'!B26="","",'入力 (1)'!B26)</f>
        <v>4</v>
      </c>
      <c r="F25" s="167"/>
      <c r="G25" s="167"/>
      <c r="H25" s="168">
        <f>IF('入力 (1)'!C26="","",'入力 (1)'!C26)</f>
        <v>1</v>
      </c>
      <c r="I25" s="168"/>
      <c r="J25" s="168"/>
      <c r="K25" s="168">
        <f>SUM(H$12:J25)</f>
        <v>13.9</v>
      </c>
      <c r="L25" s="168"/>
      <c r="M25" s="168"/>
      <c r="N25" s="169" t="str">
        <f>IF('入力 (1)'!D26="","",'入力 (1)'!D26)</f>
        <v/>
      </c>
      <c r="O25" s="169"/>
      <c r="P25" s="169"/>
      <c r="Q25" s="169" t="str">
        <f>IF('入力 (1)'!E26="","",'入力 (1)'!E26)</f>
        <v/>
      </c>
      <c r="R25" s="169"/>
      <c r="S25" s="169"/>
      <c r="T25" s="169"/>
      <c r="U25" s="166">
        <f>IF('入力 (1)'!F26="","",ROUND('入力 (1)'!F26,2))</f>
        <v>2.91</v>
      </c>
      <c r="V25" s="166"/>
      <c r="W25" s="166"/>
      <c r="X25" s="166"/>
      <c r="Y25" s="166"/>
      <c r="Z25" s="166">
        <f>IF('入力 (1)'!H26="","",ROUND('入力 (1)'!H26,2))</f>
        <v>60.81</v>
      </c>
      <c r="AA25" s="166"/>
      <c r="AB25" s="166"/>
      <c r="AC25" s="166"/>
      <c r="AD25" s="166"/>
    </row>
    <row r="26" spans="1:30" ht="15.75" customHeight="1" x14ac:dyDescent="0.15">
      <c r="A26" s="80" t="str">
        <f t="shared" si="0"/>
        <v/>
      </c>
      <c r="E26" s="167">
        <f>IF('入力 (1)'!B27="","",'入力 (1)'!B27)</f>
        <v>4</v>
      </c>
      <c r="F26" s="167"/>
      <c r="G26" s="167"/>
      <c r="H26" s="168">
        <f>IF('入力 (1)'!C27="","",'入力 (1)'!C27)</f>
        <v>1</v>
      </c>
      <c r="I26" s="168"/>
      <c r="J26" s="168"/>
      <c r="K26" s="168">
        <f>SUM(H$12:J26)</f>
        <v>14.9</v>
      </c>
      <c r="L26" s="168"/>
      <c r="M26" s="168"/>
      <c r="N26" s="169" t="str">
        <f>IF('入力 (1)'!D27="","",'入力 (1)'!D27)</f>
        <v/>
      </c>
      <c r="O26" s="169"/>
      <c r="P26" s="169"/>
      <c r="Q26" s="169" t="str">
        <f>IF('入力 (1)'!E27="","",'入力 (1)'!E27)</f>
        <v/>
      </c>
      <c r="R26" s="169"/>
      <c r="S26" s="169"/>
      <c r="T26" s="169"/>
      <c r="U26" s="166">
        <f>IF('入力 (1)'!F27="","",ROUND('入力 (1)'!F27,2))</f>
        <v>2.5299999999999998</v>
      </c>
      <c r="V26" s="166"/>
      <c r="W26" s="166"/>
      <c r="X26" s="166"/>
      <c r="Y26" s="166"/>
      <c r="Z26" s="166">
        <f>IF('入力 (1)'!H27="","",ROUND('入力 (1)'!H27,2))</f>
        <v>52.95</v>
      </c>
      <c r="AA26" s="166"/>
      <c r="AB26" s="166"/>
      <c r="AC26" s="166"/>
      <c r="AD26" s="166"/>
    </row>
    <row r="27" spans="1:30" ht="15.75" customHeight="1" x14ac:dyDescent="0.15">
      <c r="A27" s="80" t="str">
        <f t="shared" si="0"/>
        <v/>
      </c>
      <c r="E27" s="167">
        <f>IF('入力 (1)'!B28="","",'入力 (1)'!B28)</f>
        <v>4</v>
      </c>
      <c r="F27" s="167"/>
      <c r="G27" s="167"/>
      <c r="H27" s="168">
        <f>IF('入力 (1)'!C28="","",'入力 (1)'!C28)</f>
        <v>1</v>
      </c>
      <c r="I27" s="168"/>
      <c r="J27" s="168"/>
      <c r="K27" s="168">
        <f>SUM(H$12:J27)</f>
        <v>15.9</v>
      </c>
      <c r="L27" s="168"/>
      <c r="M27" s="168"/>
      <c r="N27" s="169" t="str">
        <f>IF('入力 (1)'!D28="","",'入力 (1)'!D28)</f>
        <v/>
      </c>
      <c r="O27" s="169"/>
      <c r="P27" s="169"/>
      <c r="Q27" s="169" t="str">
        <f>IF('入力 (1)'!E28="","",'入力 (1)'!E28)</f>
        <v/>
      </c>
      <c r="R27" s="169"/>
      <c r="S27" s="169"/>
      <c r="T27" s="169"/>
      <c r="U27" s="166">
        <f>IF('入力 (1)'!F28="","",ROUND('入力 (1)'!F28,2))</f>
        <v>2.15</v>
      </c>
      <c r="V27" s="166"/>
      <c r="W27" s="166"/>
      <c r="X27" s="166"/>
      <c r="Y27" s="166"/>
      <c r="Z27" s="166">
        <f>IF('入力 (1)'!H28="","",ROUND('入力 (1)'!H28,2))</f>
        <v>44.82</v>
      </c>
      <c r="AA27" s="166"/>
      <c r="AB27" s="166"/>
      <c r="AC27" s="166"/>
      <c r="AD27" s="166"/>
    </row>
    <row r="28" spans="1:30" ht="15.75" customHeight="1" x14ac:dyDescent="0.15">
      <c r="A28" s="80" t="str">
        <f t="shared" si="0"/>
        <v/>
      </c>
      <c r="E28" s="167">
        <f>IF('入力 (1)'!B29="","",'入力 (1)'!B29)</f>
        <v>4</v>
      </c>
      <c r="F28" s="167"/>
      <c r="G28" s="167"/>
      <c r="H28" s="168">
        <f>IF('入力 (1)'!C29="","",'入力 (1)'!C29)</f>
        <v>1</v>
      </c>
      <c r="I28" s="168"/>
      <c r="J28" s="168"/>
      <c r="K28" s="168">
        <f>SUM(H$12:J28)</f>
        <v>16.899999999999999</v>
      </c>
      <c r="L28" s="168"/>
      <c r="M28" s="168"/>
      <c r="N28" s="169" t="str">
        <f>IF('入力 (1)'!D29="","",'入力 (1)'!D29)</f>
        <v/>
      </c>
      <c r="O28" s="169"/>
      <c r="P28" s="169"/>
      <c r="Q28" s="169" t="str">
        <f>IF('入力 (1)'!E29="","",'入力 (1)'!E29)</f>
        <v/>
      </c>
      <c r="R28" s="169"/>
      <c r="S28" s="169"/>
      <c r="T28" s="169"/>
      <c r="U28" s="166">
        <f>IF('入力 (1)'!F29="","",ROUND('入力 (1)'!F29,2))</f>
        <v>1.75</v>
      </c>
      <c r="V28" s="166"/>
      <c r="W28" s="166"/>
      <c r="X28" s="166"/>
      <c r="Y28" s="166"/>
      <c r="Z28" s="166">
        <f>IF('入力 (1)'!H29="","",ROUND('入力 (1)'!H29,2))</f>
        <v>36.47</v>
      </c>
      <c r="AA28" s="166"/>
      <c r="AB28" s="166"/>
      <c r="AC28" s="166"/>
      <c r="AD28" s="166"/>
    </row>
    <row r="29" spans="1:30" ht="15.75" customHeight="1" x14ac:dyDescent="0.15">
      <c r="A29" s="80" t="str">
        <f t="shared" si="0"/>
        <v/>
      </c>
      <c r="E29" s="167">
        <f>IF('入力 (1)'!B30="","",'入力 (1)'!B30)</f>
        <v>4</v>
      </c>
      <c r="F29" s="167"/>
      <c r="G29" s="167"/>
      <c r="H29" s="168">
        <f>IF('入力 (1)'!C30="","",'入力 (1)'!C30)</f>
        <v>1</v>
      </c>
      <c r="I29" s="168"/>
      <c r="J29" s="168"/>
      <c r="K29" s="168">
        <f>SUM(H$12:J29)</f>
        <v>17.899999999999999</v>
      </c>
      <c r="L29" s="168"/>
      <c r="M29" s="168"/>
      <c r="N29" s="169" t="str">
        <f>IF('入力 (1)'!D30="","",'入力 (1)'!D30)</f>
        <v/>
      </c>
      <c r="O29" s="169"/>
      <c r="P29" s="169"/>
      <c r="Q29" s="169" t="str">
        <f>IF('入力 (1)'!E30="","",'入力 (1)'!E30)</f>
        <v/>
      </c>
      <c r="R29" s="169"/>
      <c r="S29" s="169"/>
      <c r="T29" s="169"/>
      <c r="U29" s="166">
        <f>IF('入力 (1)'!F30="","",ROUND('入力 (1)'!F30,2))</f>
        <v>1.34</v>
      </c>
      <c r="V29" s="166"/>
      <c r="W29" s="166"/>
      <c r="X29" s="166"/>
      <c r="Y29" s="166"/>
      <c r="Z29" s="166">
        <f>IF('入力 (1)'!H30="","",ROUND('入力 (1)'!H30,2))</f>
        <v>27.94</v>
      </c>
      <c r="AA29" s="166"/>
      <c r="AB29" s="166"/>
      <c r="AC29" s="166"/>
      <c r="AD29" s="166"/>
    </row>
    <row r="30" spans="1:30" ht="15.75" customHeight="1" x14ac:dyDescent="0.15">
      <c r="A30" s="80" t="str">
        <f t="shared" si="0"/>
        <v/>
      </c>
      <c r="E30" s="167">
        <f>IF('入力 (1)'!B31="","",'入力 (1)'!B31)</f>
        <v>5</v>
      </c>
      <c r="F30" s="167"/>
      <c r="G30" s="167"/>
      <c r="H30" s="168">
        <f>IF('入力 (1)'!C31="","",'入力 (1)'!C31)</f>
        <v>1</v>
      </c>
      <c r="I30" s="168"/>
      <c r="J30" s="168"/>
      <c r="K30" s="168">
        <f>SUM(H$12:J30)</f>
        <v>18.899999999999999</v>
      </c>
      <c r="L30" s="168"/>
      <c r="M30" s="168"/>
      <c r="N30" s="169">
        <f>IF('入力 (1)'!D31="","",'入力 (1)'!D31)</f>
        <v>16</v>
      </c>
      <c r="O30" s="169"/>
      <c r="P30" s="169"/>
      <c r="Q30" s="169">
        <f>IF('入力 (1)'!E31="","",'入力 (1)'!E31)</f>
        <v>310</v>
      </c>
      <c r="R30" s="169"/>
      <c r="S30" s="169"/>
      <c r="T30" s="169"/>
      <c r="U30" s="166">
        <f>IF('入力 (1)'!F31="","",ROUND('入力 (1)'!F31,2))</f>
        <v>1.05</v>
      </c>
      <c r="V30" s="166"/>
      <c r="W30" s="166"/>
      <c r="X30" s="166"/>
      <c r="Y30" s="166"/>
      <c r="Z30" s="166">
        <f>IF('入力 (1)'!H31="","",ROUND('入力 (1)'!H31,2))</f>
        <v>21.84</v>
      </c>
      <c r="AA30" s="166"/>
      <c r="AB30" s="166"/>
      <c r="AC30" s="166"/>
      <c r="AD30" s="166"/>
    </row>
    <row r="31" spans="1:30" ht="15.75" customHeight="1" x14ac:dyDescent="0.15">
      <c r="A31" s="80" t="str">
        <f t="shared" si="0"/>
        <v/>
      </c>
      <c r="E31" s="167">
        <f>IF('入力 (1)'!B32="","",'入力 (1)'!B32)</f>
        <v>5</v>
      </c>
      <c r="F31" s="167"/>
      <c r="G31" s="167"/>
      <c r="H31" s="168">
        <f>IF('入力 (1)'!C32="","",'入力 (1)'!C32)</f>
        <v>1</v>
      </c>
      <c r="I31" s="168"/>
      <c r="J31" s="168"/>
      <c r="K31" s="168">
        <f>SUM(H$12:J31)</f>
        <v>19.899999999999999</v>
      </c>
      <c r="L31" s="168"/>
      <c r="M31" s="168"/>
      <c r="N31" s="169" t="str">
        <f>IF('入力 (1)'!D32="","",'入力 (1)'!D32)</f>
        <v/>
      </c>
      <c r="O31" s="169"/>
      <c r="P31" s="169"/>
      <c r="Q31" s="169" t="str">
        <f>IF('入力 (1)'!E32="","",'入力 (1)'!E32)</f>
        <v/>
      </c>
      <c r="R31" s="169"/>
      <c r="S31" s="169"/>
      <c r="T31" s="169"/>
      <c r="U31" s="166">
        <f>IF('入力 (1)'!F32="","",ROUND('入力 (1)'!F32,2))</f>
        <v>0.75</v>
      </c>
      <c r="V31" s="166"/>
      <c r="W31" s="166"/>
      <c r="X31" s="166"/>
      <c r="Y31" s="166"/>
      <c r="Z31" s="166">
        <f>IF('入力 (1)'!H32="","",ROUND('入力 (1)'!H32,2))</f>
        <v>15.67</v>
      </c>
      <c r="AA31" s="166"/>
      <c r="AB31" s="166"/>
      <c r="AC31" s="166"/>
      <c r="AD31" s="166"/>
    </row>
    <row r="32" spans="1:30" ht="15.75" customHeight="1" x14ac:dyDescent="0.15">
      <c r="A32" s="80" t="str">
        <f t="shared" si="0"/>
        <v/>
      </c>
      <c r="E32" s="167">
        <f>IF('入力 (1)'!B33="","",'入力 (1)'!B33)</f>
        <v>5</v>
      </c>
      <c r="F32" s="167"/>
      <c r="G32" s="167"/>
      <c r="H32" s="168">
        <f>IF('入力 (1)'!C33="","",'入力 (1)'!C33)</f>
        <v>1</v>
      </c>
      <c r="I32" s="168"/>
      <c r="J32" s="168"/>
      <c r="K32" s="168">
        <f>SUM(H$12:J32)</f>
        <v>20.9</v>
      </c>
      <c r="L32" s="168"/>
      <c r="M32" s="168"/>
      <c r="N32" s="169" t="str">
        <f>IF('入力 (1)'!D33="","",'入力 (1)'!D33)</f>
        <v/>
      </c>
      <c r="O32" s="169"/>
      <c r="P32" s="169"/>
      <c r="Q32" s="169" t="str">
        <f>IF('入力 (1)'!E33="","",'入力 (1)'!E33)</f>
        <v/>
      </c>
      <c r="R32" s="169"/>
      <c r="S32" s="169"/>
      <c r="T32" s="169"/>
      <c r="U32" s="166">
        <f>IF('入力 (1)'!F33="","",ROUND('入力 (1)'!F33,2))</f>
        <v>0.45</v>
      </c>
      <c r="V32" s="166"/>
      <c r="W32" s="166"/>
      <c r="X32" s="166"/>
      <c r="Y32" s="166"/>
      <c r="Z32" s="166">
        <f>IF('入力 (1)'!H33="","",ROUND('入力 (1)'!H33,2))</f>
        <v>9.44</v>
      </c>
      <c r="AA32" s="166"/>
      <c r="AB32" s="166"/>
      <c r="AC32" s="166"/>
      <c r="AD32" s="166"/>
    </row>
    <row r="33" spans="1:30" ht="15.75" customHeight="1" x14ac:dyDescent="0.15">
      <c r="A33" s="80" t="str">
        <f t="shared" si="0"/>
        <v/>
      </c>
      <c r="E33" s="167">
        <f>IF('入力 (1)'!B34="","",'入力 (1)'!B34)</f>
        <v>5</v>
      </c>
      <c r="F33" s="167"/>
      <c r="G33" s="167"/>
      <c r="H33" s="168">
        <f>IF('入力 (1)'!C34="","",'入力 (1)'!C34)</f>
        <v>1</v>
      </c>
      <c r="I33" s="168"/>
      <c r="J33" s="168"/>
      <c r="K33" s="168">
        <f>SUM(H$12:J33)</f>
        <v>21.9</v>
      </c>
      <c r="L33" s="168"/>
      <c r="M33" s="168"/>
      <c r="N33" s="169" t="str">
        <f>IF('入力 (1)'!D34="","",'入力 (1)'!D34)</f>
        <v/>
      </c>
      <c r="O33" s="169"/>
      <c r="P33" s="169"/>
      <c r="Q33" s="169" t="str">
        <f>IF('入力 (1)'!E34="","",'入力 (1)'!E34)</f>
        <v/>
      </c>
      <c r="R33" s="169"/>
      <c r="S33" s="169"/>
      <c r="T33" s="169"/>
      <c r="U33" s="166">
        <f>IF('入力 (1)'!F34="","",ROUND('入力 (1)'!F34,2))</f>
        <v>0.15</v>
      </c>
      <c r="V33" s="166"/>
      <c r="W33" s="166"/>
      <c r="X33" s="166"/>
      <c r="Y33" s="166"/>
      <c r="Z33" s="166">
        <f>IF('入力 (1)'!H34="","",ROUND('入力 (1)'!H34,2))</f>
        <v>3.17</v>
      </c>
      <c r="AA33" s="166"/>
      <c r="AB33" s="166"/>
      <c r="AC33" s="166"/>
      <c r="AD33" s="166"/>
    </row>
    <row r="34" spans="1:30" ht="15.75" customHeight="1" x14ac:dyDescent="0.15">
      <c r="A34" s="80" t="str">
        <f t="shared" si="0"/>
        <v/>
      </c>
      <c r="E34" s="167">
        <f>IF('入力 (1)'!B35="","",'入力 (1)'!B35)</f>
        <v>6</v>
      </c>
      <c r="F34" s="167"/>
      <c r="G34" s="167"/>
      <c r="H34" s="168">
        <f>IF('入力 (1)'!C35="","",'入力 (1)'!C35)</f>
        <v>1</v>
      </c>
      <c r="I34" s="168"/>
      <c r="J34" s="168"/>
      <c r="K34" s="168">
        <f>SUM(H$12:J34)</f>
        <v>22.9</v>
      </c>
      <c r="L34" s="168"/>
      <c r="M34" s="168"/>
      <c r="N34" s="169">
        <f>IF('入力 (1)'!D35="","",'入力 (1)'!D35)</f>
        <v>19</v>
      </c>
      <c r="O34" s="169"/>
      <c r="P34" s="169"/>
      <c r="Q34" s="169">
        <f>IF('入力 (1)'!E35="","",'入力 (1)'!E35)</f>
        <v>400</v>
      </c>
      <c r="R34" s="169"/>
      <c r="S34" s="169"/>
      <c r="T34" s="169"/>
      <c r="U34" s="166">
        <f>IF('入力 (1)'!F35="","",ROUND('入力 (1)'!F35,2))</f>
        <v>0</v>
      </c>
      <c r="V34" s="166"/>
      <c r="W34" s="166"/>
      <c r="X34" s="166"/>
      <c r="Y34" s="166"/>
      <c r="Z34" s="166">
        <f>IF('入力 (1)'!H35="","",ROUND('入力 (1)'!H35,2))</f>
        <v>0</v>
      </c>
      <c r="AA34" s="166"/>
      <c r="AB34" s="166"/>
      <c r="AC34" s="166"/>
      <c r="AD34" s="166"/>
    </row>
    <row r="35" spans="1:30" ht="15.75" customHeight="1" x14ac:dyDescent="0.15">
      <c r="A35" s="80" t="str">
        <f t="shared" si="0"/>
        <v>×</v>
      </c>
      <c r="E35" s="167" t="str">
        <f>IF('入力 (1)'!B36="","",'入力 (1)'!B36)</f>
        <v/>
      </c>
      <c r="F35" s="167"/>
      <c r="G35" s="167"/>
      <c r="H35" s="168" t="str">
        <f>IF('入力 (1)'!C36="","",'入力 (1)'!C36)</f>
        <v/>
      </c>
      <c r="I35" s="168"/>
      <c r="J35" s="168"/>
      <c r="K35" s="168">
        <f>SUM(H$12:J35)</f>
        <v>22.9</v>
      </c>
      <c r="L35" s="168"/>
      <c r="M35" s="168"/>
      <c r="N35" s="169" t="str">
        <f>IF('入力 (1)'!D36="","",'入力 (1)'!D36)</f>
        <v/>
      </c>
      <c r="O35" s="169"/>
      <c r="P35" s="169"/>
      <c r="Q35" s="169" t="str">
        <f>IF('入力 (1)'!E36="","",'入力 (1)'!E36)</f>
        <v/>
      </c>
      <c r="R35" s="169"/>
      <c r="S35" s="169"/>
      <c r="T35" s="169"/>
      <c r="U35" s="166" t="str">
        <f>IF('入力 (1)'!F36="","",ROUND('入力 (1)'!F36,2))</f>
        <v/>
      </c>
      <c r="V35" s="166"/>
      <c r="W35" s="166"/>
      <c r="X35" s="166"/>
      <c r="Y35" s="166"/>
      <c r="Z35" s="166" t="str">
        <f>IF('入力 (1)'!H36="","",ROUND('入力 (1)'!H36,2))</f>
        <v/>
      </c>
      <c r="AA35" s="166"/>
      <c r="AB35" s="166"/>
      <c r="AC35" s="166"/>
      <c r="AD35" s="166"/>
    </row>
    <row r="36" spans="1:30" ht="15.75" customHeight="1" x14ac:dyDescent="0.15">
      <c r="A36" s="80" t="str">
        <f t="shared" si="0"/>
        <v>×</v>
      </c>
      <c r="E36" s="167" t="str">
        <f>IF('入力 (1)'!B37="","",'入力 (1)'!B37)</f>
        <v/>
      </c>
      <c r="F36" s="167"/>
      <c r="G36" s="167"/>
      <c r="H36" s="168" t="str">
        <f>IF('入力 (1)'!C37="","",'入力 (1)'!C37)</f>
        <v/>
      </c>
      <c r="I36" s="168"/>
      <c r="J36" s="168"/>
      <c r="K36" s="168">
        <f>SUM(H$12:J36)</f>
        <v>22.9</v>
      </c>
      <c r="L36" s="168"/>
      <c r="M36" s="168"/>
      <c r="N36" s="169" t="str">
        <f>IF('入力 (1)'!D37="","",'入力 (1)'!D37)</f>
        <v/>
      </c>
      <c r="O36" s="169"/>
      <c r="P36" s="169"/>
      <c r="Q36" s="169" t="str">
        <f>IF('入力 (1)'!E37="","",'入力 (1)'!E37)</f>
        <v/>
      </c>
      <c r="R36" s="169"/>
      <c r="S36" s="169"/>
      <c r="T36" s="169"/>
      <c r="U36" s="166" t="str">
        <f>IF('入力 (1)'!F37="","",ROUND('入力 (1)'!F37,2))</f>
        <v/>
      </c>
      <c r="V36" s="166"/>
      <c r="W36" s="166"/>
      <c r="X36" s="166"/>
      <c r="Y36" s="166"/>
      <c r="Z36" s="166" t="str">
        <f>IF('入力 (1)'!H37="","",ROUND('入力 (1)'!H37,2))</f>
        <v/>
      </c>
      <c r="AA36" s="166"/>
      <c r="AB36" s="166"/>
      <c r="AC36" s="166"/>
      <c r="AD36" s="166"/>
    </row>
    <row r="37" spans="1:30" ht="15.75" customHeight="1" x14ac:dyDescent="0.15">
      <c r="A37" s="80" t="str">
        <f t="shared" si="0"/>
        <v>×</v>
      </c>
      <c r="E37" s="167" t="str">
        <f>IF('入力 (1)'!B38="","",'入力 (1)'!B38)</f>
        <v/>
      </c>
      <c r="F37" s="167"/>
      <c r="G37" s="167"/>
      <c r="H37" s="168" t="str">
        <f>IF('入力 (1)'!C38="","",'入力 (1)'!C38)</f>
        <v/>
      </c>
      <c r="I37" s="168"/>
      <c r="J37" s="168"/>
      <c r="K37" s="168">
        <f>SUM(H$12:J37)</f>
        <v>22.9</v>
      </c>
      <c r="L37" s="168"/>
      <c r="M37" s="168"/>
      <c r="N37" s="169" t="str">
        <f>IF('入力 (1)'!D38="","",'入力 (1)'!D38)</f>
        <v/>
      </c>
      <c r="O37" s="169"/>
      <c r="P37" s="169"/>
      <c r="Q37" s="169" t="str">
        <f>IF('入力 (1)'!E38="","",'入力 (1)'!E38)</f>
        <v/>
      </c>
      <c r="R37" s="169"/>
      <c r="S37" s="169"/>
      <c r="T37" s="169"/>
      <c r="U37" s="166" t="str">
        <f>IF('入力 (1)'!F38="","",ROUND('入力 (1)'!F38,2))</f>
        <v/>
      </c>
      <c r="V37" s="166"/>
      <c r="W37" s="166"/>
      <c r="X37" s="166"/>
      <c r="Y37" s="166"/>
      <c r="Z37" s="166" t="str">
        <f>IF('入力 (1)'!H38="","",ROUND('入力 (1)'!H38,2))</f>
        <v/>
      </c>
      <c r="AA37" s="166"/>
      <c r="AB37" s="166"/>
      <c r="AC37" s="166"/>
      <c r="AD37" s="166"/>
    </row>
    <row r="38" spans="1:30" ht="15.75" customHeight="1" x14ac:dyDescent="0.15">
      <c r="A38" s="80" t="str">
        <f t="shared" si="0"/>
        <v>×</v>
      </c>
      <c r="E38" s="167" t="str">
        <f>IF('入力 (1)'!B39="","",'入力 (1)'!B39)</f>
        <v/>
      </c>
      <c r="F38" s="167"/>
      <c r="G38" s="167"/>
      <c r="H38" s="168" t="str">
        <f>IF('入力 (1)'!C39="","",'入力 (1)'!C39)</f>
        <v/>
      </c>
      <c r="I38" s="168"/>
      <c r="J38" s="168"/>
      <c r="K38" s="168">
        <f>SUM(H$12:J38)</f>
        <v>22.9</v>
      </c>
      <c r="L38" s="168"/>
      <c r="M38" s="168"/>
      <c r="N38" s="169" t="str">
        <f>IF('入力 (1)'!D39="","",'入力 (1)'!D39)</f>
        <v/>
      </c>
      <c r="O38" s="169"/>
      <c r="P38" s="169"/>
      <c r="Q38" s="169" t="str">
        <f>IF('入力 (1)'!E39="","",'入力 (1)'!E39)</f>
        <v/>
      </c>
      <c r="R38" s="169"/>
      <c r="S38" s="169"/>
      <c r="T38" s="169"/>
      <c r="U38" s="166" t="str">
        <f>IF('入力 (1)'!F39="","",ROUND('入力 (1)'!F39,2))</f>
        <v/>
      </c>
      <c r="V38" s="166"/>
      <c r="W38" s="166"/>
      <c r="X38" s="166"/>
      <c r="Y38" s="166"/>
      <c r="Z38" s="166" t="str">
        <f>IF('入力 (1)'!H39="","",ROUND('入力 (1)'!H39,2))</f>
        <v/>
      </c>
      <c r="AA38" s="166"/>
      <c r="AB38" s="166"/>
      <c r="AC38" s="166"/>
      <c r="AD38" s="166"/>
    </row>
    <row r="39" spans="1:30" ht="15.75" customHeight="1" x14ac:dyDescent="0.15">
      <c r="A39" s="80" t="str">
        <f t="shared" si="0"/>
        <v>×</v>
      </c>
      <c r="E39" s="167" t="str">
        <f>IF('入力 (1)'!B40="","",'入力 (1)'!B40)</f>
        <v/>
      </c>
      <c r="F39" s="167"/>
      <c r="G39" s="167"/>
      <c r="H39" s="168" t="str">
        <f>IF('入力 (1)'!C40="","",'入力 (1)'!C40)</f>
        <v/>
      </c>
      <c r="I39" s="168"/>
      <c r="J39" s="168"/>
      <c r="K39" s="168">
        <f>SUM(H$12:J39)</f>
        <v>22.9</v>
      </c>
      <c r="L39" s="168"/>
      <c r="M39" s="168"/>
      <c r="N39" s="169" t="str">
        <f>IF('入力 (1)'!D40="","",'入力 (1)'!D40)</f>
        <v/>
      </c>
      <c r="O39" s="169"/>
      <c r="P39" s="169"/>
      <c r="Q39" s="169" t="str">
        <f>IF('入力 (1)'!E40="","",'入力 (1)'!E40)</f>
        <v/>
      </c>
      <c r="R39" s="169"/>
      <c r="S39" s="169"/>
      <c r="T39" s="169"/>
      <c r="U39" s="166" t="str">
        <f>IF('入力 (1)'!F40="","",ROUND('入力 (1)'!F40,2))</f>
        <v/>
      </c>
      <c r="V39" s="166"/>
      <c r="W39" s="166"/>
      <c r="X39" s="166"/>
      <c r="Y39" s="166"/>
      <c r="Z39" s="166" t="str">
        <f>IF('入力 (1)'!H40="","",ROUND('入力 (1)'!H40,2))</f>
        <v/>
      </c>
      <c r="AA39" s="166"/>
      <c r="AB39" s="166"/>
      <c r="AC39" s="166"/>
      <c r="AD39" s="166"/>
    </row>
    <row r="40" spans="1:30" ht="15.75" customHeight="1" x14ac:dyDescent="0.15">
      <c r="A40" s="80" t="str">
        <f t="shared" si="0"/>
        <v>×</v>
      </c>
      <c r="E40" s="167" t="str">
        <f>IF('入力 (1)'!B41="","",'入力 (1)'!B41)</f>
        <v/>
      </c>
      <c r="F40" s="167"/>
      <c r="G40" s="167"/>
      <c r="H40" s="168" t="str">
        <f>IF('入力 (1)'!C41="","",'入力 (1)'!C41)</f>
        <v/>
      </c>
      <c r="I40" s="168"/>
      <c r="J40" s="168"/>
      <c r="K40" s="168">
        <f>SUM(H$12:J40)</f>
        <v>22.9</v>
      </c>
      <c r="L40" s="168"/>
      <c r="M40" s="168"/>
      <c r="N40" s="169" t="str">
        <f>IF('入力 (1)'!D41="","",'入力 (1)'!D41)</f>
        <v/>
      </c>
      <c r="O40" s="169"/>
      <c r="P40" s="169"/>
      <c r="Q40" s="169" t="str">
        <f>IF('入力 (1)'!E41="","",'入力 (1)'!E41)</f>
        <v/>
      </c>
      <c r="R40" s="169"/>
      <c r="S40" s="169"/>
      <c r="T40" s="169"/>
      <c r="U40" s="166" t="str">
        <f>IF('入力 (1)'!F41="","",ROUND('入力 (1)'!F41,2))</f>
        <v/>
      </c>
      <c r="V40" s="166"/>
      <c r="W40" s="166"/>
      <c r="X40" s="166"/>
      <c r="Y40" s="166"/>
      <c r="Z40" s="166" t="str">
        <f>IF('入力 (1)'!H41="","",ROUND('入力 (1)'!H41,2))</f>
        <v/>
      </c>
      <c r="AA40" s="166"/>
      <c r="AB40" s="166"/>
      <c r="AC40" s="166"/>
      <c r="AD40" s="166"/>
    </row>
    <row r="41" spans="1:30" ht="15.75" customHeight="1" x14ac:dyDescent="0.15">
      <c r="A41" s="80" t="str">
        <f t="shared" si="0"/>
        <v>×</v>
      </c>
      <c r="E41" s="167" t="str">
        <f>IF('入力 (1)'!B42="","",'入力 (1)'!B42)</f>
        <v/>
      </c>
      <c r="F41" s="167"/>
      <c r="G41" s="167"/>
      <c r="H41" s="168" t="str">
        <f>IF('入力 (1)'!C42="","",'入力 (1)'!C42)</f>
        <v/>
      </c>
      <c r="I41" s="168"/>
      <c r="J41" s="168"/>
      <c r="K41" s="168">
        <f>SUM(H$12:J41)</f>
        <v>22.9</v>
      </c>
      <c r="L41" s="168"/>
      <c r="M41" s="168"/>
      <c r="N41" s="169" t="str">
        <f>IF('入力 (1)'!D42="","",'入力 (1)'!D42)</f>
        <v/>
      </c>
      <c r="O41" s="169"/>
      <c r="P41" s="169"/>
      <c r="Q41" s="169" t="str">
        <f>IF('入力 (1)'!E42="","",'入力 (1)'!E42)</f>
        <v/>
      </c>
      <c r="R41" s="169"/>
      <c r="S41" s="169"/>
      <c r="T41" s="169"/>
      <c r="U41" s="166" t="str">
        <f>IF('入力 (1)'!F42="","",ROUND('入力 (1)'!F42,2))</f>
        <v/>
      </c>
      <c r="V41" s="166"/>
      <c r="W41" s="166"/>
      <c r="X41" s="166"/>
      <c r="Y41" s="166"/>
      <c r="Z41" s="166" t="str">
        <f>IF('入力 (1)'!H42="","",ROUND('入力 (1)'!H42,2))</f>
        <v/>
      </c>
      <c r="AA41" s="166"/>
      <c r="AB41" s="166"/>
      <c r="AC41" s="166"/>
      <c r="AD41" s="166"/>
    </row>
    <row r="42" spans="1:30" ht="15.75" customHeight="1" x14ac:dyDescent="0.15">
      <c r="A42" s="80" t="str">
        <f t="shared" si="0"/>
        <v>×</v>
      </c>
      <c r="E42" s="167" t="str">
        <f>IF('入力 (1)'!B43="","",'入力 (1)'!B43)</f>
        <v/>
      </c>
      <c r="F42" s="167"/>
      <c r="G42" s="167"/>
      <c r="H42" s="168" t="str">
        <f>IF('入力 (1)'!C43="","",'入力 (1)'!C43)</f>
        <v/>
      </c>
      <c r="I42" s="168"/>
      <c r="J42" s="168"/>
      <c r="K42" s="168">
        <f>SUM(H$12:J42)</f>
        <v>22.9</v>
      </c>
      <c r="L42" s="168"/>
      <c r="M42" s="168"/>
      <c r="N42" s="169" t="str">
        <f>IF('入力 (1)'!D43="","",'入力 (1)'!D43)</f>
        <v/>
      </c>
      <c r="O42" s="169"/>
      <c r="P42" s="169"/>
      <c r="Q42" s="169" t="str">
        <f>IF('入力 (1)'!E43="","",'入力 (1)'!E43)</f>
        <v/>
      </c>
      <c r="R42" s="169"/>
      <c r="S42" s="169"/>
      <c r="T42" s="169"/>
      <c r="U42" s="166" t="str">
        <f>IF('入力 (1)'!F43="","",ROUND('入力 (1)'!F43,2))</f>
        <v/>
      </c>
      <c r="V42" s="166"/>
      <c r="W42" s="166"/>
      <c r="X42" s="166"/>
      <c r="Y42" s="166"/>
      <c r="Z42" s="166" t="str">
        <f>IF('入力 (1)'!H43="","",ROUND('入力 (1)'!H43,2))</f>
        <v/>
      </c>
      <c r="AA42" s="166"/>
      <c r="AB42" s="166"/>
      <c r="AC42" s="166"/>
      <c r="AD42" s="166"/>
    </row>
    <row r="43" spans="1:30" ht="15.75" customHeight="1" x14ac:dyDescent="0.15">
      <c r="A43" s="80" t="str">
        <f t="shared" si="0"/>
        <v>×</v>
      </c>
      <c r="E43" s="167" t="str">
        <f>IF('入力 (1)'!B44="","",'入力 (1)'!B44)</f>
        <v/>
      </c>
      <c r="F43" s="167"/>
      <c r="G43" s="167"/>
      <c r="H43" s="168" t="str">
        <f>IF('入力 (1)'!C44="","",'入力 (1)'!C44)</f>
        <v/>
      </c>
      <c r="I43" s="168"/>
      <c r="J43" s="168"/>
      <c r="K43" s="168">
        <f>SUM(H$12:J43)</f>
        <v>22.9</v>
      </c>
      <c r="L43" s="168"/>
      <c r="M43" s="168"/>
      <c r="N43" s="169" t="str">
        <f>IF('入力 (1)'!D44="","",'入力 (1)'!D44)</f>
        <v/>
      </c>
      <c r="O43" s="169"/>
      <c r="P43" s="169"/>
      <c r="Q43" s="169" t="str">
        <f>IF('入力 (1)'!E44="","",'入力 (1)'!E44)</f>
        <v/>
      </c>
      <c r="R43" s="169"/>
      <c r="S43" s="169"/>
      <c r="T43" s="169"/>
      <c r="U43" s="166" t="str">
        <f>IF('入力 (1)'!F44="","",ROUND('入力 (1)'!F44,2))</f>
        <v/>
      </c>
      <c r="V43" s="166"/>
      <c r="W43" s="166"/>
      <c r="X43" s="166"/>
      <c r="Y43" s="166"/>
      <c r="Z43" s="166" t="str">
        <f>IF('入力 (1)'!H44="","",ROUND('入力 (1)'!H44,2))</f>
        <v/>
      </c>
      <c r="AA43" s="166"/>
      <c r="AB43" s="166"/>
      <c r="AC43" s="166"/>
      <c r="AD43" s="166"/>
    </row>
    <row r="44" spans="1:30" ht="15.75" customHeight="1" x14ac:dyDescent="0.15">
      <c r="A44" s="80" t="str">
        <f t="shared" si="0"/>
        <v>×</v>
      </c>
      <c r="E44" s="167" t="str">
        <f>IF('入力 (1)'!B45="","",'入力 (1)'!B45)</f>
        <v/>
      </c>
      <c r="F44" s="167"/>
      <c r="G44" s="167"/>
      <c r="H44" s="168" t="str">
        <f>IF('入力 (1)'!C45="","",'入力 (1)'!C45)</f>
        <v/>
      </c>
      <c r="I44" s="168"/>
      <c r="J44" s="168"/>
      <c r="K44" s="168">
        <f>SUM(H$12:J44)</f>
        <v>22.9</v>
      </c>
      <c r="L44" s="168"/>
      <c r="M44" s="168"/>
      <c r="N44" s="169" t="str">
        <f>IF('入力 (1)'!D45="","",'入力 (1)'!D45)</f>
        <v/>
      </c>
      <c r="O44" s="169"/>
      <c r="P44" s="169"/>
      <c r="Q44" s="169" t="str">
        <f>IF('入力 (1)'!E45="","",'入力 (1)'!E45)</f>
        <v/>
      </c>
      <c r="R44" s="169"/>
      <c r="S44" s="169"/>
      <c r="T44" s="169"/>
      <c r="U44" s="166" t="str">
        <f>IF('入力 (1)'!F45="","",ROUND('入力 (1)'!F45,2))</f>
        <v/>
      </c>
      <c r="V44" s="166"/>
      <c r="W44" s="166"/>
      <c r="X44" s="166"/>
      <c r="Y44" s="166"/>
      <c r="Z44" s="166" t="str">
        <f>IF('入力 (1)'!H45="","",ROUND('入力 (1)'!H45,2))</f>
        <v/>
      </c>
      <c r="AA44" s="166"/>
      <c r="AB44" s="166"/>
      <c r="AC44" s="166"/>
      <c r="AD44" s="166"/>
    </row>
    <row r="45" spans="1:30" ht="15.75" customHeight="1" x14ac:dyDescent="0.15">
      <c r="A45" s="80" t="str">
        <f t="shared" ref="A45:A70" si="1">IF(H45="","×","")</f>
        <v>×</v>
      </c>
      <c r="E45" s="167" t="str">
        <f>IF('入力 (1)'!B46="","",'入力 (1)'!B46)</f>
        <v/>
      </c>
      <c r="F45" s="167"/>
      <c r="G45" s="167"/>
      <c r="H45" s="168" t="str">
        <f>IF('入力 (1)'!C46="","",'入力 (1)'!C46)</f>
        <v/>
      </c>
      <c r="I45" s="168"/>
      <c r="J45" s="168"/>
      <c r="K45" s="168">
        <f>SUM(H$12:J45)</f>
        <v>22.9</v>
      </c>
      <c r="L45" s="168"/>
      <c r="M45" s="168"/>
      <c r="N45" s="169" t="str">
        <f>IF('入力 (1)'!D46="","",'入力 (1)'!D46)</f>
        <v/>
      </c>
      <c r="O45" s="169"/>
      <c r="P45" s="169"/>
      <c r="Q45" s="169" t="str">
        <f>IF('入力 (1)'!E46="","",'入力 (1)'!E46)</f>
        <v/>
      </c>
      <c r="R45" s="169"/>
      <c r="S45" s="169"/>
      <c r="T45" s="169"/>
      <c r="U45" s="166" t="str">
        <f>IF('入力 (1)'!F46="","",ROUND('入力 (1)'!F46,2))</f>
        <v/>
      </c>
      <c r="V45" s="166"/>
      <c r="W45" s="166"/>
      <c r="X45" s="166"/>
      <c r="Y45" s="166"/>
      <c r="Z45" s="166" t="str">
        <f>IF('入力 (1)'!H46="","",ROUND('入力 (1)'!H46,2))</f>
        <v/>
      </c>
      <c r="AA45" s="166"/>
      <c r="AB45" s="166"/>
      <c r="AC45" s="166"/>
      <c r="AD45" s="166"/>
    </row>
    <row r="46" spans="1:30" ht="15.75" customHeight="1" x14ac:dyDescent="0.15">
      <c r="A46" s="80" t="str">
        <f t="shared" si="1"/>
        <v>×</v>
      </c>
      <c r="E46" s="167" t="str">
        <f>IF('入力 (1)'!B47="","",'入力 (1)'!B47)</f>
        <v/>
      </c>
      <c r="F46" s="167"/>
      <c r="G46" s="167"/>
      <c r="H46" s="168" t="str">
        <f>IF('入力 (1)'!C47="","",'入力 (1)'!C47)</f>
        <v/>
      </c>
      <c r="I46" s="168"/>
      <c r="J46" s="168"/>
      <c r="K46" s="168">
        <f>SUM(H$12:J46)</f>
        <v>22.9</v>
      </c>
      <c r="L46" s="168"/>
      <c r="M46" s="168"/>
      <c r="N46" s="169" t="str">
        <f>IF('入力 (1)'!D47="","",'入力 (1)'!D47)</f>
        <v/>
      </c>
      <c r="O46" s="169"/>
      <c r="P46" s="169"/>
      <c r="Q46" s="169" t="str">
        <f>IF('入力 (1)'!E47="","",'入力 (1)'!E47)</f>
        <v/>
      </c>
      <c r="R46" s="169"/>
      <c r="S46" s="169"/>
      <c r="T46" s="169"/>
      <c r="U46" s="166" t="str">
        <f>IF('入力 (1)'!F47="","",ROUND('入力 (1)'!F47,2))</f>
        <v/>
      </c>
      <c r="V46" s="166"/>
      <c r="W46" s="166"/>
      <c r="X46" s="166"/>
      <c r="Y46" s="166"/>
      <c r="Z46" s="166" t="str">
        <f>IF('入力 (1)'!H47="","",ROUND('入力 (1)'!H47,2))</f>
        <v/>
      </c>
      <c r="AA46" s="166"/>
      <c r="AB46" s="166"/>
      <c r="AC46" s="166"/>
      <c r="AD46" s="166"/>
    </row>
    <row r="47" spans="1:30" ht="15.75" customHeight="1" x14ac:dyDescent="0.15">
      <c r="A47" s="80" t="str">
        <f t="shared" si="1"/>
        <v>×</v>
      </c>
      <c r="E47" s="167" t="str">
        <f>IF('入力 (1)'!B48="","",'入力 (1)'!B48)</f>
        <v/>
      </c>
      <c r="F47" s="167"/>
      <c r="G47" s="167"/>
      <c r="H47" s="168" t="str">
        <f>IF('入力 (1)'!C48="","",'入力 (1)'!C48)</f>
        <v/>
      </c>
      <c r="I47" s="168"/>
      <c r="J47" s="168"/>
      <c r="K47" s="168">
        <f>SUM(H$12:J47)</f>
        <v>22.9</v>
      </c>
      <c r="L47" s="168"/>
      <c r="M47" s="168"/>
      <c r="N47" s="169" t="str">
        <f>IF('入力 (1)'!D48="","",'入力 (1)'!D48)</f>
        <v/>
      </c>
      <c r="O47" s="169"/>
      <c r="P47" s="169"/>
      <c r="Q47" s="169" t="str">
        <f>IF('入力 (1)'!E48="","",'入力 (1)'!E48)</f>
        <v/>
      </c>
      <c r="R47" s="169"/>
      <c r="S47" s="169"/>
      <c r="T47" s="169"/>
      <c r="U47" s="166" t="str">
        <f>IF('入力 (1)'!F48="","",ROUND('入力 (1)'!F48,2))</f>
        <v/>
      </c>
      <c r="V47" s="166"/>
      <c r="W47" s="166"/>
      <c r="X47" s="166"/>
      <c r="Y47" s="166"/>
      <c r="Z47" s="166" t="str">
        <f>IF('入力 (1)'!H48="","",ROUND('入力 (1)'!H48,2))</f>
        <v/>
      </c>
      <c r="AA47" s="166"/>
      <c r="AB47" s="166"/>
      <c r="AC47" s="166"/>
      <c r="AD47" s="166"/>
    </row>
    <row r="48" spans="1:30" ht="15.75" customHeight="1" x14ac:dyDescent="0.15">
      <c r="A48" s="80" t="str">
        <f t="shared" si="1"/>
        <v>×</v>
      </c>
      <c r="E48" s="167" t="str">
        <f>IF('入力 (1)'!B49="","",'入力 (1)'!B49)</f>
        <v/>
      </c>
      <c r="F48" s="167"/>
      <c r="G48" s="167"/>
      <c r="H48" s="168" t="str">
        <f>IF('入力 (1)'!C49="","",'入力 (1)'!C49)</f>
        <v/>
      </c>
      <c r="I48" s="168"/>
      <c r="J48" s="168"/>
      <c r="K48" s="168">
        <f>SUM(H$12:J48)</f>
        <v>22.9</v>
      </c>
      <c r="L48" s="168"/>
      <c r="M48" s="168"/>
      <c r="N48" s="169" t="str">
        <f>IF('入力 (1)'!D49="","",'入力 (1)'!D49)</f>
        <v/>
      </c>
      <c r="O48" s="169"/>
      <c r="P48" s="169"/>
      <c r="Q48" s="169" t="str">
        <f>IF('入力 (1)'!E49="","",'入力 (1)'!E49)</f>
        <v/>
      </c>
      <c r="R48" s="169"/>
      <c r="S48" s="169"/>
      <c r="T48" s="169"/>
      <c r="U48" s="166" t="str">
        <f>IF('入力 (1)'!F49="","",ROUND('入力 (1)'!F49,2))</f>
        <v/>
      </c>
      <c r="V48" s="166"/>
      <c r="W48" s="166"/>
      <c r="X48" s="166"/>
      <c r="Y48" s="166"/>
      <c r="Z48" s="166" t="str">
        <f>IF('入力 (1)'!H49="","",ROUND('入力 (1)'!H49,2))</f>
        <v/>
      </c>
      <c r="AA48" s="166"/>
      <c r="AB48" s="166"/>
      <c r="AC48" s="166"/>
      <c r="AD48" s="166"/>
    </row>
    <row r="49" spans="1:30" ht="15.75" customHeight="1" x14ac:dyDescent="0.15">
      <c r="A49" s="80" t="str">
        <f t="shared" si="1"/>
        <v>×</v>
      </c>
      <c r="E49" s="167" t="str">
        <f>IF('入力 (1)'!B50="","",'入力 (1)'!B50)</f>
        <v/>
      </c>
      <c r="F49" s="167"/>
      <c r="G49" s="167"/>
      <c r="H49" s="168" t="str">
        <f>IF('入力 (1)'!C50="","",'入力 (1)'!C50)</f>
        <v/>
      </c>
      <c r="I49" s="168"/>
      <c r="J49" s="168"/>
      <c r="K49" s="168">
        <f>SUM(H$12:J49)</f>
        <v>22.9</v>
      </c>
      <c r="L49" s="168"/>
      <c r="M49" s="168"/>
      <c r="N49" s="169" t="str">
        <f>IF('入力 (1)'!D50="","",'入力 (1)'!D50)</f>
        <v/>
      </c>
      <c r="O49" s="169"/>
      <c r="P49" s="169"/>
      <c r="Q49" s="169" t="str">
        <f>IF('入力 (1)'!E50="","",'入力 (1)'!E50)</f>
        <v/>
      </c>
      <c r="R49" s="169"/>
      <c r="S49" s="169"/>
      <c r="T49" s="169"/>
      <c r="U49" s="166" t="str">
        <f>IF('入力 (1)'!F50="","",ROUND('入力 (1)'!F50,2))</f>
        <v/>
      </c>
      <c r="V49" s="166"/>
      <c r="W49" s="166"/>
      <c r="X49" s="166"/>
      <c r="Y49" s="166"/>
      <c r="Z49" s="166" t="str">
        <f>IF('入力 (1)'!H50="","",ROUND('入力 (1)'!H50,2))</f>
        <v/>
      </c>
      <c r="AA49" s="166"/>
      <c r="AB49" s="166"/>
      <c r="AC49" s="166"/>
      <c r="AD49" s="166"/>
    </row>
    <row r="50" spans="1:30" ht="15.75" customHeight="1" x14ac:dyDescent="0.15">
      <c r="A50" s="80" t="str">
        <f t="shared" si="1"/>
        <v>×</v>
      </c>
      <c r="E50" s="167" t="str">
        <f>IF('入力 (1)'!B51="","",'入力 (1)'!B51)</f>
        <v/>
      </c>
      <c r="F50" s="167"/>
      <c r="G50" s="167"/>
      <c r="H50" s="168" t="str">
        <f>IF('入力 (1)'!C51="","",'入力 (1)'!C51)</f>
        <v/>
      </c>
      <c r="I50" s="168"/>
      <c r="J50" s="168"/>
      <c r="K50" s="168">
        <f>SUM(H$12:J50)</f>
        <v>22.9</v>
      </c>
      <c r="L50" s="168"/>
      <c r="M50" s="168"/>
      <c r="N50" s="169" t="str">
        <f>IF('入力 (1)'!D51="","",'入力 (1)'!D51)</f>
        <v/>
      </c>
      <c r="O50" s="169"/>
      <c r="P50" s="169"/>
      <c r="Q50" s="169" t="str">
        <f>IF('入力 (1)'!E51="","",'入力 (1)'!E51)</f>
        <v/>
      </c>
      <c r="R50" s="169"/>
      <c r="S50" s="169"/>
      <c r="T50" s="169"/>
      <c r="U50" s="166" t="str">
        <f>IF('入力 (1)'!F51="","",ROUND('入力 (1)'!F51,2))</f>
        <v/>
      </c>
      <c r="V50" s="166"/>
      <c r="W50" s="166"/>
      <c r="X50" s="166"/>
      <c r="Y50" s="166"/>
      <c r="Z50" s="166" t="str">
        <f>IF('入力 (1)'!H51="","",ROUND('入力 (1)'!H51,2))</f>
        <v/>
      </c>
      <c r="AA50" s="166"/>
      <c r="AB50" s="166"/>
      <c r="AC50" s="166"/>
      <c r="AD50" s="166"/>
    </row>
    <row r="51" spans="1:30" ht="15.75" customHeight="1" x14ac:dyDescent="0.15">
      <c r="A51" s="80" t="str">
        <f t="shared" si="1"/>
        <v>×</v>
      </c>
      <c r="E51" s="167" t="str">
        <f>IF('入力 (1)'!B52="","",'入力 (1)'!B52)</f>
        <v/>
      </c>
      <c r="F51" s="167"/>
      <c r="G51" s="167"/>
      <c r="H51" s="168" t="str">
        <f>IF('入力 (1)'!C52="","",'入力 (1)'!C52)</f>
        <v/>
      </c>
      <c r="I51" s="168"/>
      <c r="J51" s="168"/>
      <c r="K51" s="168">
        <f>SUM(H$12:J51)</f>
        <v>22.9</v>
      </c>
      <c r="L51" s="168"/>
      <c r="M51" s="168"/>
      <c r="N51" s="169" t="str">
        <f>IF('入力 (1)'!D52="","",'入力 (1)'!D52)</f>
        <v/>
      </c>
      <c r="O51" s="169"/>
      <c r="P51" s="169"/>
      <c r="Q51" s="169" t="str">
        <f>IF('入力 (1)'!E52="","",'入力 (1)'!E52)</f>
        <v/>
      </c>
      <c r="R51" s="169"/>
      <c r="S51" s="169"/>
      <c r="T51" s="169"/>
      <c r="U51" s="166" t="str">
        <f>IF('入力 (1)'!F52="","",ROUND('入力 (1)'!F52,2))</f>
        <v/>
      </c>
      <c r="V51" s="166"/>
      <c r="W51" s="166"/>
      <c r="X51" s="166"/>
      <c r="Y51" s="166"/>
      <c r="Z51" s="166" t="str">
        <f>IF('入力 (1)'!H52="","",ROUND('入力 (1)'!H52,2))</f>
        <v/>
      </c>
      <c r="AA51" s="166"/>
      <c r="AB51" s="166"/>
      <c r="AC51" s="166"/>
      <c r="AD51" s="166"/>
    </row>
    <row r="52" spans="1:30" ht="15.75" customHeight="1" x14ac:dyDescent="0.15">
      <c r="A52" s="80" t="str">
        <f t="shared" si="1"/>
        <v>×</v>
      </c>
      <c r="E52" s="167" t="str">
        <f>IF('入力 (1)'!B53="","",'入力 (1)'!B53)</f>
        <v/>
      </c>
      <c r="F52" s="167"/>
      <c r="G52" s="167"/>
      <c r="H52" s="168" t="str">
        <f>IF('入力 (1)'!C53="","",'入力 (1)'!C53)</f>
        <v/>
      </c>
      <c r="I52" s="168"/>
      <c r="J52" s="168"/>
      <c r="K52" s="168">
        <f>SUM(H$12:J52)</f>
        <v>22.9</v>
      </c>
      <c r="L52" s="168"/>
      <c r="M52" s="168"/>
      <c r="N52" s="169" t="str">
        <f>IF('入力 (1)'!D53="","",'入力 (1)'!D53)</f>
        <v/>
      </c>
      <c r="O52" s="169"/>
      <c r="P52" s="169"/>
      <c r="Q52" s="169" t="str">
        <f>IF('入力 (1)'!E53="","",'入力 (1)'!E53)</f>
        <v/>
      </c>
      <c r="R52" s="169"/>
      <c r="S52" s="169"/>
      <c r="T52" s="169"/>
      <c r="U52" s="166" t="str">
        <f>IF('入力 (1)'!F53="","",ROUND('入力 (1)'!F53,2))</f>
        <v/>
      </c>
      <c r="V52" s="166"/>
      <c r="W52" s="166"/>
      <c r="X52" s="166"/>
      <c r="Y52" s="166"/>
      <c r="Z52" s="166" t="str">
        <f>IF('入力 (1)'!H53="","",ROUND('入力 (1)'!H53,2))</f>
        <v/>
      </c>
      <c r="AA52" s="166"/>
      <c r="AB52" s="166"/>
      <c r="AC52" s="166"/>
      <c r="AD52" s="166"/>
    </row>
    <row r="53" spans="1:30" ht="15.75" customHeight="1" x14ac:dyDescent="0.15">
      <c r="A53" s="80" t="str">
        <f t="shared" si="1"/>
        <v>×</v>
      </c>
      <c r="E53" s="167" t="str">
        <f>IF('入力 (1)'!B54="","",'入力 (1)'!B54)</f>
        <v/>
      </c>
      <c r="F53" s="167"/>
      <c r="G53" s="167"/>
      <c r="H53" s="168" t="str">
        <f>IF('入力 (1)'!C54="","",'入力 (1)'!C54)</f>
        <v/>
      </c>
      <c r="I53" s="168"/>
      <c r="J53" s="168"/>
      <c r="K53" s="168">
        <f>SUM(H$12:J53)</f>
        <v>22.9</v>
      </c>
      <c r="L53" s="168"/>
      <c r="M53" s="168"/>
      <c r="N53" s="169" t="str">
        <f>IF('入力 (1)'!D54="","",'入力 (1)'!D54)</f>
        <v/>
      </c>
      <c r="O53" s="169"/>
      <c r="P53" s="169"/>
      <c r="Q53" s="169" t="str">
        <f>IF('入力 (1)'!E54="","",'入力 (1)'!E54)</f>
        <v/>
      </c>
      <c r="R53" s="169"/>
      <c r="S53" s="169"/>
      <c r="T53" s="169"/>
      <c r="U53" s="166" t="str">
        <f>IF('入力 (1)'!F54="","",ROUND('入力 (1)'!F54,2))</f>
        <v/>
      </c>
      <c r="V53" s="166"/>
      <c r="W53" s="166"/>
      <c r="X53" s="166"/>
      <c r="Y53" s="166"/>
      <c r="Z53" s="166" t="str">
        <f>IF('入力 (1)'!H54="","",ROUND('入力 (1)'!H54,2))</f>
        <v/>
      </c>
      <c r="AA53" s="166"/>
      <c r="AB53" s="166"/>
      <c r="AC53" s="166"/>
      <c r="AD53" s="166"/>
    </row>
    <row r="54" spans="1:30" ht="15.75" customHeight="1" x14ac:dyDescent="0.15">
      <c r="A54" s="80" t="str">
        <f t="shared" si="1"/>
        <v>×</v>
      </c>
      <c r="E54" s="167" t="str">
        <f>IF('入力 (1)'!B55="","",'入力 (1)'!B55)</f>
        <v/>
      </c>
      <c r="F54" s="167"/>
      <c r="G54" s="167"/>
      <c r="H54" s="168" t="str">
        <f>IF('入力 (1)'!C55="","",'入力 (1)'!C55)</f>
        <v/>
      </c>
      <c r="I54" s="168"/>
      <c r="J54" s="168"/>
      <c r="K54" s="168">
        <f>SUM(H$12:J54)</f>
        <v>22.9</v>
      </c>
      <c r="L54" s="168"/>
      <c r="M54" s="168"/>
      <c r="N54" s="169" t="str">
        <f>IF('入力 (1)'!D55="","",'入力 (1)'!D55)</f>
        <v/>
      </c>
      <c r="O54" s="169"/>
      <c r="P54" s="169"/>
      <c r="Q54" s="169" t="str">
        <f>IF('入力 (1)'!E55="","",'入力 (1)'!E55)</f>
        <v/>
      </c>
      <c r="R54" s="169"/>
      <c r="S54" s="169"/>
      <c r="T54" s="169"/>
      <c r="U54" s="166" t="str">
        <f>IF('入力 (1)'!F55="","",ROUND('入力 (1)'!F55,2))</f>
        <v/>
      </c>
      <c r="V54" s="166"/>
      <c r="W54" s="166"/>
      <c r="X54" s="166"/>
      <c r="Y54" s="166"/>
      <c r="Z54" s="166" t="str">
        <f>IF('入力 (1)'!H55="","",ROUND('入力 (1)'!H55,2))</f>
        <v/>
      </c>
      <c r="AA54" s="166"/>
      <c r="AB54" s="166"/>
      <c r="AC54" s="166"/>
      <c r="AD54" s="166"/>
    </row>
    <row r="55" spans="1:30" ht="15.75" customHeight="1" x14ac:dyDescent="0.15">
      <c r="A55" s="80" t="str">
        <f t="shared" si="1"/>
        <v>×</v>
      </c>
      <c r="E55" s="167" t="str">
        <f>IF('入力 (1)'!B56="","",'入力 (1)'!B56)</f>
        <v/>
      </c>
      <c r="F55" s="167"/>
      <c r="G55" s="167"/>
      <c r="H55" s="168" t="str">
        <f>IF('入力 (1)'!C56="","",'入力 (1)'!C56)</f>
        <v/>
      </c>
      <c r="I55" s="168"/>
      <c r="J55" s="168"/>
      <c r="K55" s="168">
        <f>SUM(H$12:J55)</f>
        <v>22.9</v>
      </c>
      <c r="L55" s="168"/>
      <c r="M55" s="168"/>
      <c r="N55" s="169" t="str">
        <f>IF('入力 (1)'!D56="","",'入力 (1)'!D56)</f>
        <v/>
      </c>
      <c r="O55" s="169"/>
      <c r="P55" s="169"/>
      <c r="Q55" s="169" t="str">
        <f>IF('入力 (1)'!E56="","",'入力 (1)'!E56)</f>
        <v/>
      </c>
      <c r="R55" s="169"/>
      <c r="S55" s="169"/>
      <c r="T55" s="169"/>
      <c r="U55" s="166" t="str">
        <f>IF('入力 (1)'!F56="","",ROUND('入力 (1)'!F56,2))</f>
        <v/>
      </c>
      <c r="V55" s="166"/>
      <c r="W55" s="166"/>
      <c r="X55" s="166"/>
      <c r="Y55" s="166"/>
      <c r="Z55" s="166" t="str">
        <f>IF('入力 (1)'!H56="","",ROUND('入力 (1)'!H56,2))</f>
        <v/>
      </c>
      <c r="AA55" s="166"/>
      <c r="AB55" s="166"/>
      <c r="AC55" s="166"/>
      <c r="AD55" s="166"/>
    </row>
    <row r="56" spans="1:30" ht="15.75" customHeight="1" x14ac:dyDescent="0.15">
      <c r="A56" s="80" t="str">
        <f t="shared" si="1"/>
        <v>×</v>
      </c>
      <c r="E56" s="167" t="str">
        <f>IF('入力 (1)'!B57="","",'入力 (1)'!B57)</f>
        <v/>
      </c>
      <c r="F56" s="167"/>
      <c r="G56" s="167"/>
      <c r="H56" s="168" t="str">
        <f>IF('入力 (1)'!C57="","",'入力 (1)'!C57)</f>
        <v/>
      </c>
      <c r="I56" s="168"/>
      <c r="J56" s="168"/>
      <c r="K56" s="168">
        <f>SUM(H$12:J56)</f>
        <v>22.9</v>
      </c>
      <c r="L56" s="168"/>
      <c r="M56" s="168"/>
      <c r="N56" s="169" t="str">
        <f>IF('入力 (1)'!D57="","",'入力 (1)'!D57)</f>
        <v/>
      </c>
      <c r="O56" s="169"/>
      <c r="P56" s="169"/>
      <c r="Q56" s="169" t="str">
        <f>IF('入力 (1)'!E57="","",'入力 (1)'!E57)</f>
        <v/>
      </c>
      <c r="R56" s="169"/>
      <c r="S56" s="169"/>
      <c r="T56" s="169"/>
      <c r="U56" s="166" t="str">
        <f>IF('入力 (1)'!F57="","",ROUND('入力 (1)'!F57,2))</f>
        <v/>
      </c>
      <c r="V56" s="166"/>
      <c r="W56" s="166"/>
      <c r="X56" s="166"/>
      <c r="Y56" s="166"/>
      <c r="Z56" s="166" t="str">
        <f>IF('入力 (1)'!H57="","",ROUND('入力 (1)'!H57,2))</f>
        <v/>
      </c>
      <c r="AA56" s="166"/>
      <c r="AB56" s="166"/>
      <c r="AC56" s="166"/>
      <c r="AD56" s="166"/>
    </row>
    <row r="57" spans="1:30" ht="15.75" customHeight="1" x14ac:dyDescent="0.15">
      <c r="A57" s="80" t="str">
        <f t="shared" si="1"/>
        <v>×</v>
      </c>
      <c r="E57" s="167" t="str">
        <f>IF('入力 (1)'!B58="","",'入力 (1)'!B58)</f>
        <v/>
      </c>
      <c r="F57" s="167"/>
      <c r="G57" s="167"/>
      <c r="H57" s="168" t="str">
        <f>IF('入力 (1)'!C58="","",'入力 (1)'!C58)</f>
        <v/>
      </c>
      <c r="I57" s="168"/>
      <c r="J57" s="168"/>
      <c r="K57" s="168">
        <f>SUM(H$12:J57)</f>
        <v>22.9</v>
      </c>
      <c r="L57" s="168"/>
      <c r="M57" s="168"/>
      <c r="N57" s="169" t="str">
        <f>IF('入力 (1)'!D58="","",'入力 (1)'!D58)</f>
        <v/>
      </c>
      <c r="O57" s="169"/>
      <c r="P57" s="169"/>
      <c r="Q57" s="169" t="str">
        <f>IF('入力 (1)'!E58="","",'入力 (1)'!E58)</f>
        <v/>
      </c>
      <c r="R57" s="169"/>
      <c r="S57" s="169"/>
      <c r="T57" s="169"/>
      <c r="U57" s="166" t="str">
        <f>IF('入力 (1)'!F58="","",ROUND('入力 (1)'!F58,2))</f>
        <v/>
      </c>
      <c r="V57" s="166"/>
      <c r="W57" s="166"/>
      <c r="X57" s="166"/>
      <c r="Y57" s="166"/>
      <c r="Z57" s="166" t="str">
        <f>IF('入力 (1)'!H58="","",ROUND('入力 (1)'!H58,2))</f>
        <v/>
      </c>
      <c r="AA57" s="166"/>
      <c r="AB57" s="166"/>
      <c r="AC57" s="166"/>
      <c r="AD57" s="166"/>
    </row>
    <row r="58" spans="1:30" ht="15.75" customHeight="1" x14ac:dyDescent="0.15">
      <c r="A58" s="80" t="str">
        <f t="shared" si="1"/>
        <v>×</v>
      </c>
      <c r="E58" s="167" t="str">
        <f>IF('入力 (1)'!B59="","",'入力 (1)'!B59)</f>
        <v/>
      </c>
      <c r="F58" s="167"/>
      <c r="G58" s="167"/>
      <c r="H58" s="168" t="str">
        <f>IF('入力 (1)'!C59="","",'入力 (1)'!C59)</f>
        <v/>
      </c>
      <c r="I58" s="168"/>
      <c r="J58" s="168"/>
      <c r="K58" s="168">
        <f>SUM(H$12:J58)</f>
        <v>22.9</v>
      </c>
      <c r="L58" s="168"/>
      <c r="M58" s="168"/>
      <c r="N58" s="169" t="str">
        <f>IF('入力 (1)'!D59="","",'入力 (1)'!D59)</f>
        <v/>
      </c>
      <c r="O58" s="169"/>
      <c r="P58" s="169"/>
      <c r="Q58" s="169" t="str">
        <f>IF('入力 (1)'!E59="","",'入力 (1)'!E59)</f>
        <v/>
      </c>
      <c r="R58" s="169"/>
      <c r="S58" s="169"/>
      <c r="T58" s="169"/>
      <c r="U58" s="166" t="str">
        <f>IF('入力 (1)'!F59="","",ROUND('入力 (1)'!F59,2))</f>
        <v/>
      </c>
      <c r="V58" s="166"/>
      <c r="W58" s="166"/>
      <c r="X58" s="166"/>
      <c r="Y58" s="166"/>
      <c r="Z58" s="166" t="str">
        <f>IF('入力 (1)'!H59="","",ROUND('入力 (1)'!H59,2))</f>
        <v/>
      </c>
      <c r="AA58" s="166"/>
      <c r="AB58" s="166"/>
      <c r="AC58" s="166"/>
      <c r="AD58" s="166"/>
    </row>
    <row r="59" spans="1:30" ht="15.75" customHeight="1" x14ac:dyDescent="0.15">
      <c r="A59" s="80" t="str">
        <f t="shared" si="1"/>
        <v>×</v>
      </c>
      <c r="E59" s="167" t="str">
        <f>IF('入力 (1)'!B60="","",'入力 (1)'!B60)</f>
        <v/>
      </c>
      <c r="F59" s="167"/>
      <c r="G59" s="167"/>
      <c r="H59" s="168" t="str">
        <f>IF('入力 (1)'!C60="","",'入力 (1)'!C60)</f>
        <v/>
      </c>
      <c r="I59" s="168"/>
      <c r="J59" s="168"/>
      <c r="K59" s="168">
        <f>SUM(H$12:J59)</f>
        <v>22.9</v>
      </c>
      <c r="L59" s="168"/>
      <c r="M59" s="168"/>
      <c r="N59" s="169" t="str">
        <f>IF('入力 (1)'!D60="","",'入力 (1)'!D60)</f>
        <v/>
      </c>
      <c r="O59" s="169"/>
      <c r="P59" s="169"/>
      <c r="Q59" s="169" t="str">
        <f>IF('入力 (1)'!E60="","",'入力 (1)'!E60)</f>
        <v/>
      </c>
      <c r="R59" s="169"/>
      <c r="S59" s="169"/>
      <c r="T59" s="169"/>
      <c r="U59" s="166" t="str">
        <f>IF('入力 (1)'!F60="","",ROUND('入力 (1)'!F60,2))</f>
        <v/>
      </c>
      <c r="V59" s="166"/>
      <c r="W59" s="166"/>
      <c r="X59" s="166"/>
      <c r="Y59" s="166"/>
      <c r="Z59" s="166" t="str">
        <f>IF('入力 (1)'!H60="","",ROUND('入力 (1)'!H60,2))</f>
        <v/>
      </c>
      <c r="AA59" s="166"/>
      <c r="AB59" s="166"/>
      <c r="AC59" s="166"/>
      <c r="AD59" s="166"/>
    </row>
    <row r="60" spans="1:30" ht="15.75" customHeight="1" x14ac:dyDescent="0.15">
      <c r="A60" s="80" t="str">
        <f t="shared" si="1"/>
        <v>×</v>
      </c>
      <c r="E60" s="167" t="str">
        <f>IF('入力 (1)'!B61="","",'入力 (1)'!B61)</f>
        <v/>
      </c>
      <c r="F60" s="167"/>
      <c r="G60" s="167"/>
      <c r="H60" s="168" t="str">
        <f>IF('入力 (1)'!C61="","",'入力 (1)'!C61)</f>
        <v/>
      </c>
      <c r="I60" s="168"/>
      <c r="J60" s="168"/>
      <c r="K60" s="168">
        <f>SUM(H$12:J60)</f>
        <v>22.9</v>
      </c>
      <c r="L60" s="168"/>
      <c r="M60" s="168"/>
      <c r="N60" s="169" t="str">
        <f>IF('入力 (1)'!D61="","",'入力 (1)'!D61)</f>
        <v/>
      </c>
      <c r="O60" s="169"/>
      <c r="P60" s="169"/>
      <c r="Q60" s="169" t="str">
        <f>IF('入力 (1)'!E61="","",'入力 (1)'!E61)</f>
        <v/>
      </c>
      <c r="R60" s="169"/>
      <c r="S60" s="169"/>
      <c r="T60" s="169"/>
      <c r="U60" s="166" t="str">
        <f>IF('入力 (1)'!F61="","",ROUND('入力 (1)'!F61,2))</f>
        <v/>
      </c>
      <c r="V60" s="166"/>
      <c r="W60" s="166"/>
      <c r="X60" s="166"/>
      <c r="Y60" s="166"/>
      <c r="Z60" s="166" t="str">
        <f>IF('入力 (1)'!H61="","",ROUND('入力 (1)'!H61,2))</f>
        <v/>
      </c>
      <c r="AA60" s="166"/>
      <c r="AB60" s="166"/>
      <c r="AC60" s="166"/>
      <c r="AD60" s="166"/>
    </row>
    <row r="61" spans="1:30" ht="15.75" customHeight="1" x14ac:dyDescent="0.15">
      <c r="A61" s="80" t="str">
        <f t="shared" si="1"/>
        <v>×</v>
      </c>
      <c r="E61" s="167" t="str">
        <f>IF('入力 (1)'!B62="","",'入力 (1)'!B62)</f>
        <v/>
      </c>
      <c r="F61" s="167"/>
      <c r="G61" s="167"/>
      <c r="H61" s="168" t="str">
        <f>IF('入力 (1)'!C62="","",'入力 (1)'!C62)</f>
        <v/>
      </c>
      <c r="I61" s="168"/>
      <c r="J61" s="168"/>
      <c r="K61" s="168">
        <f>SUM(H$12:J61)</f>
        <v>22.9</v>
      </c>
      <c r="L61" s="168"/>
      <c r="M61" s="168"/>
      <c r="N61" s="169" t="str">
        <f>IF('入力 (1)'!D62="","",'入力 (1)'!D62)</f>
        <v/>
      </c>
      <c r="O61" s="169"/>
      <c r="P61" s="169"/>
      <c r="Q61" s="169" t="str">
        <f>IF('入力 (1)'!E62="","",'入力 (1)'!E62)</f>
        <v/>
      </c>
      <c r="R61" s="169"/>
      <c r="S61" s="169"/>
      <c r="T61" s="169"/>
      <c r="U61" s="166" t="str">
        <f>IF('入力 (1)'!F62="","",ROUND('入力 (1)'!F62,2))</f>
        <v/>
      </c>
      <c r="V61" s="166"/>
      <c r="W61" s="166"/>
      <c r="X61" s="166"/>
      <c r="Y61" s="166"/>
      <c r="Z61" s="166" t="str">
        <f>IF('入力 (1)'!H62="","",ROUND('入力 (1)'!H62,2))</f>
        <v/>
      </c>
      <c r="AA61" s="166"/>
      <c r="AB61" s="166"/>
      <c r="AC61" s="166"/>
      <c r="AD61" s="166"/>
    </row>
    <row r="62" spans="1:30" ht="15.75" customHeight="1" x14ac:dyDescent="0.15">
      <c r="A62" s="80" t="str">
        <f t="shared" si="1"/>
        <v>×</v>
      </c>
      <c r="E62" s="167" t="str">
        <f>IF('入力 (1)'!B63="","",'入力 (1)'!B63)</f>
        <v/>
      </c>
      <c r="F62" s="167"/>
      <c r="G62" s="167"/>
      <c r="H62" s="168" t="str">
        <f>IF('入力 (1)'!C63="","",'入力 (1)'!C63)</f>
        <v/>
      </c>
      <c r="I62" s="168"/>
      <c r="J62" s="168"/>
      <c r="K62" s="168">
        <f>SUM(H$12:J62)</f>
        <v>22.9</v>
      </c>
      <c r="L62" s="168"/>
      <c r="M62" s="168"/>
      <c r="N62" s="169" t="str">
        <f>IF('入力 (1)'!D63="","",'入力 (1)'!D63)</f>
        <v/>
      </c>
      <c r="O62" s="169"/>
      <c r="P62" s="169"/>
      <c r="Q62" s="169" t="str">
        <f>IF('入力 (1)'!E63="","",'入力 (1)'!E63)</f>
        <v/>
      </c>
      <c r="R62" s="169"/>
      <c r="S62" s="169"/>
      <c r="T62" s="169"/>
      <c r="U62" s="166" t="str">
        <f>IF('入力 (1)'!F63="","",ROUND('入力 (1)'!F63,2))</f>
        <v/>
      </c>
      <c r="V62" s="166"/>
      <c r="W62" s="166"/>
      <c r="X62" s="166"/>
      <c r="Y62" s="166"/>
      <c r="Z62" s="166" t="str">
        <f>IF('入力 (1)'!H63="","",ROUND('入力 (1)'!H63,2))</f>
        <v/>
      </c>
      <c r="AA62" s="166"/>
      <c r="AB62" s="166"/>
      <c r="AC62" s="166"/>
      <c r="AD62" s="166"/>
    </row>
    <row r="63" spans="1:30" ht="15.75" customHeight="1" x14ac:dyDescent="0.15">
      <c r="A63" s="80" t="str">
        <f t="shared" si="1"/>
        <v>×</v>
      </c>
      <c r="E63" s="167" t="str">
        <f>IF('入力 (1)'!B64="","",'入力 (1)'!B64)</f>
        <v/>
      </c>
      <c r="F63" s="167"/>
      <c r="G63" s="167"/>
      <c r="H63" s="168" t="str">
        <f>IF('入力 (1)'!C64="","",'入力 (1)'!C64)</f>
        <v/>
      </c>
      <c r="I63" s="168"/>
      <c r="J63" s="168"/>
      <c r="K63" s="168">
        <f>SUM(H$12:J63)</f>
        <v>22.9</v>
      </c>
      <c r="L63" s="168"/>
      <c r="M63" s="168"/>
      <c r="N63" s="169" t="str">
        <f>IF('入力 (1)'!D64="","",'入力 (1)'!D64)</f>
        <v/>
      </c>
      <c r="O63" s="169"/>
      <c r="P63" s="169"/>
      <c r="Q63" s="169" t="str">
        <f>IF('入力 (1)'!E64="","",'入力 (1)'!E64)</f>
        <v/>
      </c>
      <c r="R63" s="169"/>
      <c r="S63" s="169"/>
      <c r="T63" s="169"/>
      <c r="U63" s="166" t="str">
        <f>IF('入力 (1)'!F64="","",ROUND('入力 (1)'!F64,2))</f>
        <v/>
      </c>
      <c r="V63" s="166"/>
      <c r="W63" s="166"/>
      <c r="X63" s="166"/>
      <c r="Y63" s="166"/>
      <c r="Z63" s="166" t="str">
        <f>IF('入力 (1)'!H64="","",ROUND('入力 (1)'!H64,2))</f>
        <v/>
      </c>
      <c r="AA63" s="166"/>
      <c r="AB63" s="166"/>
      <c r="AC63" s="166"/>
      <c r="AD63" s="166"/>
    </row>
    <row r="64" spans="1:30" ht="15.75" customHeight="1" x14ac:dyDescent="0.15">
      <c r="A64" s="80" t="str">
        <f t="shared" si="1"/>
        <v>×</v>
      </c>
      <c r="E64" s="167" t="str">
        <f>IF('入力 (1)'!B65="","",'入力 (1)'!B65)</f>
        <v/>
      </c>
      <c r="F64" s="167"/>
      <c r="G64" s="167"/>
      <c r="H64" s="168" t="str">
        <f>IF('入力 (1)'!C65="","",'入力 (1)'!C65)</f>
        <v/>
      </c>
      <c r="I64" s="168"/>
      <c r="J64" s="168"/>
      <c r="K64" s="168">
        <f>SUM(H$12:J64)</f>
        <v>22.9</v>
      </c>
      <c r="L64" s="168"/>
      <c r="M64" s="168"/>
      <c r="N64" s="169" t="str">
        <f>IF('入力 (1)'!D65="","",'入力 (1)'!D65)</f>
        <v/>
      </c>
      <c r="O64" s="169"/>
      <c r="P64" s="169"/>
      <c r="Q64" s="169" t="str">
        <f>IF('入力 (1)'!E65="","",'入力 (1)'!E65)</f>
        <v/>
      </c>
      <c r="R64" s="169"/>
      <c r="S64" s="169"/>
      <c r="T64" s="169"/>
      <c r="U64" s="166" t="str">
        <f>IF('入力 (1)'!F65="","",ROUND('入力 (1)'!F65,2))</f>
        <v/>
      </c>
      <c r="V64" s="166"/>
      <c r="W64" s="166"/>
      <c r="X64" s="166"/>
      <c r="Y64" s="166"/>
      <c r="Z64" s="166" t="str">
        <f>IF('入力 (1)'!H65="","",ROUND('入力 (1)'!H65,2))</f>
        <v/>
      </c>
      <c r="AA64" s="166"/>
      <c r="AB64" s="166"/>
      <c r="AC64" s="166"/>
      <c r="AD64" s="166"/>
    </row>
    <row r="65" spans="1:30" ht="15.75" customHeight="1" x14ac:dyDescent="0.15">
      <c r="A65" s="80" t="str">
        <f t="shared" si="1"/>
        <v>×</v>
      </c>
      <c r="E65" s="167" t="str">
        <f>IF('入力 (1)'!B66="","",'入力 (1)'!B66)</f>
        <v/>
      </c>
      <c r="F65" s="167"/>
      <c r="G65" s="167"/>
      <c r="H65" s="168" t="str">
        <f>IF('入力 (1)'!C66="","",'入力 (1)'!C66)</f>
        <v/>
      </c>
      <c r="I65" s="168"/>
      <c r="J65" s="168"/>
      <c r="K65" s="168">
        <f>SUM(H$12:J65)</f>
        <v>22.9</v>
      </c>
      <c r="L65" s="168"/>
      <c r="M65" s="168"/>
      <c r="N65" s="169" t="str">
        <f>IF('入力 (1)'!D66="","",'入力 (1)'!D66)</f>
        <v/>
      </c>
      <c r="O65" s="169"/>
      <c r="P65" s="169"/>
      <c r="Q65" s="169" t="str">
        <f>IF('入力 (1)'!E66="","",'入力 (1)'!E66)</f>
        <v/>
      </c>
      <c r="R65" s="169"/>
      <c r="S65" s="169"/>
      <c r="T65" s="169"/>
      <c r="U65" s="166" t="str">
        <f>IF('入力 (1)'!F66="","",ROUND('入力 (1)'!F66,2))</f>
        <v/>
      </c>
      <c r="V65" s="166"/>
      <c r="W65" s="166"/>
      <c r="X65" s="166"/>
      <c r="Y65" s="166"/>
      <c r="Z65" s="166" t="str">
        <f>IF('入力 (1)'!H66="","",ROUND('入力 (1)'!H66,2))</f>
        <v/>
      </c>
      <c r="AA65" s="166"/>
      <c r="AB65" s="166"/>
      <c r="AC65" s="166"/>
      <c r="AD65" s="166"/>
    </row>
    <row r="66" spans="1:30" ht="15.75" customHeight="1" x14ac:dyDescent="0.15">
      <c r="A66" s="80" t="str">
        <f t="shared" si="1"/>
        <v>×</v>
      </c>
      <c r="E66" s="167" t="str">
        <f>IF('入力 (1)'!B67="","",'入力 (1)'!B67)</f>
        <v/>
      </c>
      <c r="F66" s="167"/>
      <c r="G66" s="167"/>
      <c r="H66" s="168" t="str">
        <f>IF('入力 (1)'!C67="","",'入力 (1)'!C67)</f>
        <v/>
      </c>
      <c r="I66" s="168"/>
      <c r="J66" s="168"/>
      <c r="K66" s="168">
        <f>SUM(H$12:J66)</f>
        <v>22.9</v>
      </c>
      <c r="L66" s="168"/>
      <c r="M66" s="168"/>
      <c r="N66" s="169" t="str">
        <f>IF('入力 (1)'!D67="","",'入力 (1)'!D67)</f>
        <v/>
      </c>
      <c r="O66" s="169"/>
      <c r="P66" s="169"/>
      <c r="Q66" s="169" t="str">
        <f>IF('入力 (1)'!E67="","",'入力 (1)'!E67)</f>
        <v/>
      </c>
      <c r="R66" s="169"/>
      <c r="S66" s="169"/>
      <c r="T66" s="169"/>
      <c r="U66" s="166" t="str">
        <f>IF('入力 (1)'!F67="","",ROUND('入力 (1)'!F67,2))</f>
        <v/>
      </c>
      <c r="V66" s="166"/>
      <c r="W66" s="166"/>
      <c r="X66" s="166"/>
      <c r="Y66" s="166"/>
      <c r="Z66" s="166" t="str">
        <f>IF('入力 (1)'!H67="","",ROUND('入力 (1)'!H67,2))</f>
        <v/>
      </c>
      <c r="AA66" s="166"/>
      <c r="AB66" s="166"/>
      <c r="AC66" s="166"/>
      <c r="AD66" s="166"/>
    </row>
    <row r="67" spans="1:30" ht="15.75" customHeight="1" x14ac:dyDescent="0.15">
      <c r="A67" s="80" t="str">
        <f t="shared" si="1"/>
        <v>×</v>
      </c>
      <c r="E67" s="167" t="str">
        <f>IF('入力 (1)'!B68="","",'入力 (1)'!B68)</f>
        <v/>
      </c>
      <c r="F67" s="167"/>
      <c r="G67" s="167"/>
      <c r="H67" s="168" t="str">
        <f>IF('入力 (1)'!C68="","",'入力 (1)'!C68)</f>
        <v/>
      </c>
      <c r="I67" s="168"/>
      <c r="J67" s="168"/>
      <c r="K67" s="168">
        <f>SUM(H$12:J67)</f>
        <v>22.9</v>
      </c>
      <c r="L67" s="168"/>
      <c r="M67" s="168"/>
      <c r="N67" s="169" t="str">
        <f>IF('入力 (1)'!D68="","",'入力 (1)'!D68)</f>
        <v/>
      </c>
      <c r="O67" s="169"/>
      <c r="P67" s="169"/>
      <c r="Q67" s="169" t="str">
        <f>IF('入力 (1)'!E68="","",'入力 (1)'!E68)</f>
        <v/>
      </c>
      <c r="R67" s="169"/>
      <c r="S67" s="169"/>
      <c r="T67" s="169"/>
      <c r="U67" s="166" t="str">
        <f>IF('入力 (1)'!F68="","",ROUND('入力 (1)'!F68,2))</f>
        <v/>
      </c>
      <c r="V67" s="166"/>
      <c r="W67" s="166"/>
      <c r="X67" s="166"/>
      <c r="Y67" s="166"/>
      <c r="Z67" s="166" t="str">
        <f>IF('入力 (1)'!H68="","",ROUND('入力 (1)'!H68,2))</f>
        <v/>
      </c>
      <c r="AA67" s="166"/>
      <c r="AB67" s="166"/>
      <c r="AC67" s="166"/>
      <c r="AD67" s="166"/>
    </row>
    <row r="68" spans="1:30" ht="15.75" customHeight="1" x14ac:dyDescent="0.15">
      <c r="A68" s="80" t="str">
        <f t="shared" si="1"/>
        <v>×</v>
      </c>
      <c r="E68" s="167" t="str">
        <f>IF('入力 (1)'!B69="","",'入力 (1)'!B69)</f>
        <v/>
      </c>
      <c r="F68" s="167"/>
      <c r="G68" s="167"/>
      <c r="H68" s="168" t="str">
        <f>IF('入力 (1)'!C69="","",'入力 (1)'!C69)</f>
        <v/>
      </c>
      <c r="I68" s="168"/>
      <c r="J68" s="168"/>
      <c r="K68" s="168">
        <f>SUM(H$12:J68)</f>
        <v>22.9</v>
      </c>
      <c r="L68" s="168"/>
      <c r="M68" s="168"/>
      <c r="N68" s="169" t="str">
        <f>IF('入力 (1)'!D69="","",'入力 (1)'!D69)</f>
        <v/>
      </c>
      <c r="O68" s="169"/>
      <c r="P68" s="169"/>
      <c r="Q68" s="169" t="str">
        <f>IF('入力 (1)'!E69="","",'入力 (1)'!E69)</f>
        <v/>
      </c>
      <c r="R68" s="169"/>
      <c r="S68" s="169"/>
      <c r="T68" s="169"/>
      <c r="U68" s="166" t="str">
        <f>IF('入力 (1)'!F69="","",ROUND('入力 (1)'!F69,2))</f>
        <v/>
      </c>
      <c r="V68" s="166"/>
      <c r="W68" s="166"/>
      <c r="X68" s="166"/>
      <c r="Y68" s="166"/>
      <c r="Z68" s="166" t="str">
        <f>IF('入力 (1)'!H69="","",ROUND('入力 (1)'!H69,2))</f>
        <v/>
      </c>
      <c r="AA68" s="166"/>
      <c r="AB68" s="166"/>
      <c r="AC68" s="166"/>
      <c r="AD68" s="166"/>
    </row>
    <row r="69" spans="1:30" ht="15.75" customHeight="1" x14ac:dyDescent="0.15">
      <c r="A69" s="80" t="str">
        <f t="shared" si="1"/>
        <v>×</v>
      </c>
      <c r="E69" s="167" t="str">
        <f>IF('入力 (1)'!B70="","",'入力 (1)'!B70)</f>
        <v/>
      </c>
      <c r="F69" s="167"/>
      <c r="G69" s="167"/>
      <c r="H69" s="168" t="str">
        <f>IF('入力 (1)'!C70="","",'入力 (1)'!C70)</f>
        <v/>
      </c>
      <c r="I69" s="168"/>
      <c r="J69" s="168"/>
      <c r="K69" s="168">
        <f>SUM(H$12:J69)</f>
        <v>22.9</v>
      </c>
      <c r="L69" s="168"/>
      <c r="M69" s="168"/>
      <c r="N69" s="169" t="str">
        <f>IF('入力 (1)'!D70="","",'入力 (1)'!D70)</f>
        <v/>
      </c>
      <c r="O69" s="169"/>
      <c r="P69" s="169"/>
      <c r="Q69" s="169" t="str">
        <f>IF('入力 (1)'!E70="","",'入力 (1)'!E70)</f>
        <v/>
      </c>
      <c r="R69" s="169"/>
      <c r="S69" s="169"/>
      <c r="T69" s="169"/>
      <c r="U69" s="166" t="str">
        <f>IF('入力 (1)'!F70="","",ROUND('入力 (1)'!F70,2))</f>
        <v/>
      </c>
      <c r="V69" s="166"/>
      <c r="W69" s="166"/>
      <c r="X69" s="166"/>
      <c r="Y69" s="166"/>
      <c r="Z69" s="166" t="str">
        <f>IF('入力 (1)'!H70="","",ROUND('入力 (1)'!H70,2))</f>
        <v/>
      </c>
      <c r="AA69" s="166"/>
      <c r="AB69" s="166"/>
      <c r="AC69" s="166"/>
      <c r="AD69" s="166"/>
    </row>
    <row r="70" spans="1:30" ht="15.75" customHeight="1" x14ac:dyDescent="0.15">
      <c r="A70" s="80" t="str">
        <f t="shared" si="1"/>
        <v>×</v>
      </c>
      <c r="E70" s="167" t="str">
        <f>IF('入力 (1)'!B71="","",'入力 (1)'!B71)</f>
        <v/>
      </c>
      <c r="F70" s="167"/>
      <c r="G70" s="167"/>
      <c r="H70" s="168" t="str">
        <f>IF('入力 (1)'!C71="","",'入力 (1)'!C71)</f>
        <v/>
      </c>
      <c r="I70" s="168"/>
      <c r="J70" s="168"/>
      <c r="K70" s="168">
        <f>SUM(H$12:J70)</f>
        <v>22.9</v>
      </c>
      <c r="L70" s="168"/>
      <c r="M70" s="168"/>
      <c r="N70" s="169" t="str">
        <f>IF('入力 (1)'!D71="","",'入力 (1)'!D71)</f>
        <v/>
      </c>
      <c r="O70" s="169"/>
      <c r="P70" s="169"/>
      <c r="Q70" s="169" t="str">
        <f>IF('入力 (1)'!E71="","",'入力 (1)'!E71)</f>
        <v/>
      </c>
      <c r="R70" s="169"/>
      <c r="S70" s="169"/>
      <c r="T70" s="169"/>
      <c r="U70" s="166" t="str">
        <f>IF('入力 (1)'!F71="","",ROUND('入力 (1)'!F71,2))</f>
        <v/>
      </c>
      <c r="V70" s="166"/>
      <c r="W70" s="166"/>
      <c r="X70" s="166"/>
      <c r="Y70" s="166"/>
      <c r="Z70" s="166" t="str">
        <f>IF('入力 (1)'!H71="","",ROUND('入力 (1)'!H71,2))</f>
        <v/>
      </c>
      <c r="AA70" s="166"/>
      <c r="AB70" s="166"/>
      <c r="AC70" s="166"/>
      <c r="AD70" s="166"/>
    </row>
    <row r="71" spans="1:30" ht="15.75" customHeight="1" x14ac:dyDescent="0.15">
      <c r="E71" s="20"/>
      <c r="F71" s="20"/>
      <c r="G71" s="20"/>
      <c r="H71" s="21"/>
      <c r="I71" s="21"/>
      <c r="J71" s="21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95"/>
      <c r="W71" s="95"/>
      <c r="X71" s="95"/>
      <c r="Y71" s="95"/>
    </row>
    <row r="73" spans="1:30" ht="15.75" customHeight="1" x14ac:dyDescent="0.15">
      <c r="D73" s="86" t="s">
        <v>92</v>
      </c>
    </row>
    <row r="75" spans="1:30" ht="15.75" customHeight="1" x14ac:dyDescent="0.15">
      <c r="E75" s="69" t="s">
        <v>93</v>
      </c>
    </row>
    <row r="76" spans="1:30" ht="15.75" customHeight="1" x14ac:dyDescent="0.15">
      <c r="E76" s="69" t="s">
        <v>94</v>
      </c>
    </row>
    <row r="78" spans="1:30" ht="15.75" customHeight="1" x14ac:dyDescent="0.15">
      <c r="F78" s="151" t="s">
        <v>61</v>
      </c>
      <c r="G78" s="151"/>
      <c r="H78" s="151"/>
      <c r="I78" s="151"/>
      <c r="J78" s="151"/>
      <c r="K78" s="151"/>
      <c r="L78" s="151"/>
      <c r="M78" s="151"/>
      <c r="N78" s="151" t="s">
        <v>62</v>
      </c>
      <c r="O78" s="151"/>
      <c r="P78" s="165">
        <f>ROUND('入力 (1)'!地盤の固有周期,4)</f>
        <v>0.34370000000000001</v>
      </c>
      <c r="Q78" s="165"/>
      <c r="R78" s="165"/>
      <c r="S78" s="165"/>
      <c r="T78" s="86" t="s">
        <v>63</v>
      </c>
    </row>
    <row r="81" spans="4:35" ht="15.75" customHeight="1" x14ac:dyDescent="0.15">
      <c r="D81" s="86" t="s">
        <v>95</v>
      </c>
    </row>
    <row r="83" spans="4:35" ht="15.75" customHeight="1" x14ac:dyDescent="0.15">
      <c r="E83" s="69" t="s">
        <v>64</v>
      </c>
    </row>
    <row r="85" spans="4:35" ht="15.75" customHeight="1" x14ac:dyDescent="0.15">
      <c r="F85" s="86" t="s">
        <v>65</v>
      </c>
    </row>
    <row r="86" spans="4:35" ht="15.75" customHeight="1" x14ac:dyDescent="0.15">
      <c r="H86" s="90" t="s">
        <v>66</v>
      </c>
      <c r="J86" s="162" t="s">
        <v>67</v>
      </c>
      <c r="K86" s="162"/>
      <c r="L86" s="90" t="s">
        <v>68</v>
      </c>
      <c r="M86" s="161">
        <v>0.75</v>
      </c>
      <c r="N86" s="161"/>
      <c r="O86" s="90"/>
      <c r="Q86" s="89"/>
      <c r="R86" s="89"/>
      <c r="S86" s="162" t="s">
        <v>69</v>
      </c>
      <c r="T86" s="162"/>
      <c r="U86" s="90" t="s">
        <v>70</v>
      </c>
      <c r="V86" s="161">
        <v>1</v>
      </c>
      <c r="W86" s="161"/>
      <c r="Y86" s="90"/>
      <c r="AB86" s="89"/>
      <c r="AC86" s="89"/>
      <c r="AD86" s="89"/>
    </row>
    <row r="87" spans="4:35" ht="15.75" customHeight="1" x14ac:dyDescent="0.15">
      <c r="H87" s="90" t="s">
        <v>71</v>
      </c>
      <c r="J87" s="161">
        <v>0.75</v>
      </c>
      <c r="K87" s="161"/>
      <c r="L87" s="90" t="s">
        <v>72</v>
      </c>
      <c r="M87" s="162" t="s">
        <v>67</v>
      </c>
      <c r="N87" s="162"/>
      <c r="O87" s="90" t="s">
        <v>68</v>
      </c>
      <c r="P87" s="161">
        <v>1.1000000000000001</v>
      </c>
      <c r="Q87" s="161"/>
      <c r="S87" s="162" t="s">
        <v>69</v>
      </c>
      <c r="T87" s="162"/>
      <c r="U87" s="90" t="s">
        <v>70</v>
      </c>
      <c r="V87" s="164">
        <v>-2</v>
      </c>
      <c r="W87" s="164"/>
      <c r="X87" s="159" t="s">
        <v>88</v>
      </c>
      <c r="Y87" s="159"/>
      <c r="Z87" s="160">
        <v>2.5</v>
      </c>
      <c r="AA87" s="160"/>
      <c r="AB87" s="91"/>
      <c r="AC87" s="91"/>
      <c r="AD87" s="91"/>
      <c r="AF87" s="70"/>
      <c r="AG87" s="70"/>
      <c r="AI87" s="90"/>
    </row>
    <row r="88" spans="4:35" ht="15.75" customHeight="1" x14ac:dyDescent="0.15">
      <c r="H88" s="90" t="s">
        <v>73</v>
      </c>
      <c r="J88" s="161">
        <v>1.1000000000000001</v>
      </c>
      <c r="K88" s="161"/>
      <c r="L88" s="90" t="s">
        <v>68</v>
      </c>
      <c r="M88" s="162" t="s">
        <v>67</v>
      </c>
      <c r="N88" s="162"/>
      <c r="P88" s="90"/>
      <c r="Q88" s="90"/>
      <c r="S88" s="162" t="s">
        <v>69</v>
      </c>
      <c r="T88" s="162"/>
      <c r="U88" s="90" t="s">
        <v>70</v>
      </c>
      <c r="V88" s="160">
        <v>0.3</v>
      </c>
      <c r="W88" s="160"/>
      <c r="Y88" s="90"/>
      <c r="AB88" s="88"/>
      <c r="AC88" s="88"/>
      <c r="AD88" s="88"/>
    </row>
    <row r="89" spans="4:35" ht="15.75" customHeight="1" x14ac:dyDescent="0.15">
      <c r="F89" s="86" t="s">
        <v>74</v>
      </c>
    </row>
    <row r="90" spans="4:35" ht="15.75" customHeight="1" x14ac:dyDescent="0.2">
      <c r="H90" s="90" t="s">
        <v>66</v>
      </c>
      <c r="J90" s="162" t="s">
        <v>67</v>
      </c>
      <c r="K90" s="162"/>
      <c r="L90" s="90" t="s">
        <v>68</v>
      </c>
      <c r="M90" s="161">
        <v>0.75</v>
      </c>
      <c r="N90" s="161"/>
      <c r="O90" s="90"/>
      <c r="Q90" s="89"/>
      <c r="R90" s="89"/>
      <c r="S90" s="162" t="s">
        <v>85</v>
      </c>
      <c r="T90" s="162"/>
      <c r="U90" s="90" t="s">
        <v>70</v>
      </c>
      <c r="V90" s="161">
        <v>0</v>
      </c>
      <c r="W90" s="161"/>
      <c r="Y90" s="90"/>
    </row>
    <row r="91" spans="4:35" ht="15.75" customHeight="1" x14ac:dyDescent="0.2">
      <c r="H91" s="90" t="s">
        <v>71</v>
      </c>
      <c r="J91" s="161">
        <v>0.75</v>
      </c>
      <c r="K91" s="161"/>
      <c r="L91" s="90" t="s">
        <v>72</v>
      </c>
      <c r="M91" s="162" t="s">
        <v>67</v>
      </c>
      <c r="N91" s="162"/>
      <c r="O91" s="90" t="s">
        <v>68</v>
      </c>
      <c r="P91" s="161">
        <v>1.1000000000000001</v>
      </c>
      <c r="Q91" s="161"/>
      <c r="S91" s="162" t="s">
        <v>85</v>
      </c>
      <c r="T91" s="162"/>
      <c r="U91" s="90" t="s">
        <v>70</v>
      </c>
      <c r="V91" s="164">
        <v>-2</v>
      </c>
      <c r="W91" s="164"/>
      <c r="X91" s="159" t="s">
        <v>88</v>
      </c>
      <c r="Y91" s="159"/>
      <c r="Z91" s="160">
        <v>1.5</v>
      </c>
      <c r="AA91" s="160"/>
    </row>
    <row r="92" spans="4:35" ht="15.75" customHeight="1" x14ac:dyDescent="0.2">
      <c r="H92" s="90" t="s">
        <v>73</v>
      </c>
      <c r="J92" s="161">
        <v>1.1000000000000001</v>
      </c>
      <c r="K92" s="161"/>
      <c r="L92" s="90" t="s">
        <v>68</v>
      </c>
      <c r="M92" s="162" t="s">
        <v>67</v>
      </c>
      <c r="N92" s="162"/>
      <c r="P92" s="90"/>
      <c r="Q92" s="90"/>
      <c r="S92" s="162" t="s">
        <v>85</v>
      </c>
      <c r="T92" s="162"/>
      <c r="U92" s="90" t="s">
        <v>70</v>
      </c>
      <c r="V92" s="163">
        <v>-0.7</v>
      </c>
      <c r="W92" s="160"/>
      <c r="Y92" s="90"/>
    </row>
    <row r="94" spans="4:35" ht="15.75" customHeight="1" x14ac:dyDescent="0.15">
      <c r="H94" s="87" t="s">
        <v>75</v>
      </c>
      <c r="I94" s="150" t="s">
        <v>67</v>
      </c>
      <c r="J94" s="150"/>
      <c r="K94" s="90" t="s">
        <v>76</v>
      </c>
      <c r="L94" s="86" t="s">
        <v>77</v>
      </c>
      <c r="M94" s="87"/>
      <c r="N94" s="87"/>
      <c r="P94" s="90"/>
    </row>
    <row r="96" spans="4:35" ht="15.75" customHeight="1" x14ac:dyDescent="0.15">
      <c r="I96" s="156" t="s">
        <v>67</v>
      </c>
      <c r="J96" s="156"/>
      <c r="K96" s="156" t="s">
        <v>70</v>
      </c>
      <c r="L96" s="157" t="s">
        <v>78</v>
      </c>
      <c r="M96" s="157"/>
      <c r="N96" s="157"/>
      <c r="O96" s="157"/>
      <c r="P96" s="157"/>
    </row>
    <row r="97" spans="1:24" ht="15.75" customHeight="1" x14ac:dyDescent="0.15">
      <c r="I97" s="156"/>
      <c r="J97" s="156"/>
      <c r="K97" s="156"/>
      <c r="L97" s="158" t="s">
        <v>79</v>
      </c>
      <c r="M97" s="158"/>
      <c r="N97" s="158"/>
      <c r="O97" s="158"/>
      <c r="P97" s="158"/>
    </row>
    <row r="99" spans="1:24" ht="15.75" customHeight="1" x14ac:dyDescent="0.15">
      <c r="I99" s="150" t="s">
        <v>78</v>
      </c>
      <c r="J99" s="150"/>
      <c r="K99" s="90" t="s">
        <v>76</v>
      </c>
      <c r="L99" s="86" t="s">
        <v>99</v>
      </c>
      <c r="M99" s="87"/>
      <c r="N99" s="90"/>
      <c r="O99" s="90"/>
    </row>
    <row r="100" spans="1:24" ht="15.75" customHeight="1" x14ac:dyDescent="0.15">
      <c r="I100" s="150" t="s">
        <v>80</v>
      </c>
      <c r="J100" s="150"/>
      <c r="K100" s="90" t="s">
        <v>76</v>
      </c>
      <c r="L100" s="86" t="s">
        <v>100</v>
      </c>
    </row>
    <row r="101" spans="1:24" ht="15.75" customHeight="1" x14ac:dyDescent="0.15">
      <c r="I101" s="150" t="s">
        <v>81</v>
      </c>
      <c r="J101" s="150"/>
      <c r="K101" s="90" t="s">
        <v>76</v>
      </c>
      <c r="L101" s="86" t="s">
        <v>101</v>
      </c>
      <c r="M101" s="90"/>
      <c r="N101" s="90"/>
      <c r="O101" s="90"/>
    </row>
    <row r="102" spans="1:24" ht="15.75" customHeight="1" x14ac:dyDescent="0.15">
      <c r="I102" s="87"/>
      <c r="J102" s="87"/>
      <c r="K102" s="90"/>
      <c r="M102" s="90"/>
      <c r="N102" s="90"/>
      <c r="O102" s="90"/>
    </row>
    <row r="103" spans="1:24" ht="15.75" customHeight="1" x14ac:dyDescent="0.15">
      <c r="I103" s="87"/>
      <c r="J103" s="87"/>
      <c r="K103" s="90"/>
      <c r="M103" s="90"/>
      <c r="N103" s="90"/>
      <c r="O103" s="90"/>
    </row>
    <row r="104" spans="1:24" ht="15.75" customHeight="1" x14ac:dyDescent="0.15">
      <c r="D104" s="86" t="s">
        <v>96</v>
      </c>
    </row>
    <row r="106" spans="1:24" ht="15.75" customHeight="1" x14ac:dyDescent="0.15">
      <c r="F106" s="151" t="s">
        <v>105</v>
      </c>
      <c r="G106" s="151"/>
      <c r="H106" s="151"/>
      <c r="I106" s="151"/>
      <c r="J106" s="151"/>
      <c r="K106" s="151"/>
      <c r="L106" s="151"/>
      <c r="M106" s="151"/>
      <c r="O106" s="87" t="s">
        <v>106</v>
      </c>
      <c r="P106" s="152">
        <v>0.56000000000000005</v>
      </c>
      <c r="Q106" s="152"/>
      <c r="R106" s="152"/>
      <c r="S106" s="152"/>
      <c r="T106" s="86" t="s">
        <v>63</v>
      </c>
    </row>
    <row r="107" spans="1:24" ht="15.75" customHeight="1" x14ac:dyDescent="0.15"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</row>
    <row r="108" spans="1:24" ht="19.5" customHeight="1" x14ac:dyDescent="0.15">
      <c r="A108" s="80" t="str">
        <f>IF(L1地震動の有無="","","×")</f>
        <v>×</v>
      </c>
      <c r="G108" s="153" t="s">
        <v>89</v>
      </c>
      <c r="H108" s="153"/>
      <c r="I108" s="153"/>
      <c r="J108" s="153"/>
      <c r="K108" s="153"/>
      <c r="L108" s="154" t="s">
        <v>97</v>
      </c>
      <c r="M108" s="155"/>
      <c r="N108" s="155"/>
      <c r="O108" s="155"/>
      <c r="P108" s="155"/>
      <c r="Q108" s="155" t="s">
        <v>98</v>
      </c>
      <c r="R108" s="155"/>
      <c r="S108" s="155"/>
      <c r="T108" s="148">
        <v>0.7</v>
      </c>
      <c r="U108" s="149"/>
      <c r="V108" s="149"/>
      <c r="W108" s="149"/>
      <c r="X108" s="149"/>
    </row>
    <row r="109" spans="1:24" ht="19.5" customHeight="1" x14ac:dyDescent="0.15">
      <c r="A109" s="80" t="str">
        <f>IF(L1地震動の有無="","","×")</f>
        <v>×</v>
      </c>
      <c r="G109" s="138"/>
      <c r="H109" s="138"/>
      <c r="I109" s="138"/>
      <c r="J109" s="138"/>
      <c r="K109" s="138"/>
      <c r="L109" s="144" t="s">
        <v>67</v>
      </c>
      <c r="M109" s="145"/>
      <c r="N109" s="145"/>
      <c r="O109" s="145"/>
      <c r="P109" s="145"/>
      <c r="Q109" s="145"/>
      <c r="R109" s="145"/>
      <c r="S109" s="145"/>
      <c r="T109" s="146">
        <f>ROUND(P106*$T$108/$P$78,3)</f>
        <v>1.141</v>
      </c>
      <c r="U109" s="147"/>
      <c r="V109" s="147"/>
      <c r="W109" s="147"/>
      <c r="X109" s="147"/>
    </row>
    <row r="110" spans="1:24" ht="19.5" customHeight="1" x14ac:dyDescent="0.15">
      <c r="A110" s="80" t="str">
        <f>IF(L1地震動の有無="","","×")</f>
        <v>×</v>
      </c>
      <c r="G110" s="138"/>
      <c r="H110" s="138"/>
      <c r="I110" s="138"/>
      <c r="J110" s="138"/>
      <c r="K110" s="138"/>
      <c r="L110" s="144" t="s">
        <v>82</v>
      </c>
      <c r="M110" s="145"/>
      <c r="N110" s="145"/>
      <c r="O110" s="145"/>
      <c r="P110" s="145"/>
      <c r="Q110" s="145" t="s">
        <v>107</v>
      </c>
      <c r="R110" s="145"/>
      <c r="S110" s="145"/>
      <c r="T110" s="132">
        <f>IF(T109&lt;=$M$86,$V$86,IF(T109&gt;=$J$88,$V$88,$V$87*T109+$Z$87))</f>
        <v>0.3</v>
      </c>
      <c r="U110" s="133"/>
      <c r="V110" s="133"/>
      <c r="W110" s="133"/>
      <c r="X110" s="133"/>
    </row>
    <row r="111" spans="1:24" ht="19.5" customHeight="1" x14ac:dyDescent="0.15">
      <c r="A111" s="80" t="str">
        <f>IF(L1地震動の有無="","","×")</f>
        <v>×</v>
      </c>
      <c r="G111" s="139"/>
      <c r="H111" s="139"/>
      <c r="I111" s="139"/>
      <c r="J111" s="139"/>
      <c r="K111" s="139"/>
      <c r="L111" s="134" t="s">
        <v>84</v>
      </c>
      <c r="M111" s="135"/>
      <c r="N111" s="135"/>
      <c r="O111" s="135"/>
      <c r="P111" s="135"/>
      <c r="Q111" s="135" t="s">
        <v>108</v>
      </c>
      <c r="R111" s="135"/>
      <c r="S111" s="135"/>
      <c r="T111" s="136">
        <f>IF(T109&lt;=$M$90,$V$90,IF(T109&gt;=$J$92,$V$92,$V$91*T109+$Z$91))</f>
        <v>-0.7</v>
      </c>
      <c r="U111" s="137"/>
      <c r="V111" s="137"/>
      <c r="W111" s="137"/>
      <c r="X111" s="137"/>
    </row>
    <row r="112" spans="1:24" ht="19.5" customHeight="1" x14ac:dyDescent="0.15">
      <c r="A112" s="80" t="str">
        <f>IF(L2地震動の有無="","","×")</f>
        <v/>
      </c>
      <c r="G112" s="138" t="s">
        <v>90</v>
      </c>
      <c r="H112" s="138"/>
      <c r="I112" s="138"/>
      <c r="J112" s="138"/>
      <c r="K112" s="138"/>
      <c r="L112" s="140" t="s">
        <v>97</v>
      </c>
      <c r="M112" s="141"/>
      <c r="N112" s="141"/>
      <c r="O112" s="141"/>
      <c r="P112" s="141"/>
      <c r="Q112" s="141" t="s">
        <v>98</v>
      </c>
      <c r="R112" s="141"/>
      <c r="S112" s="141"/>
      <c r="T112" s="142">
        <v>0.5</v>
      </c>
      <c r="U112" s="143"/>
      <c r="V112" s="143"/>
      <c r="W112" s="143"/>
      <c r="X112" s="143"/>
    </row>
    <row r="113" spans="1:24" ht="19.5" customHeight="1" x14ac:dyDescent="0.15">
      <c r="A113" s="80" t="str">
        <f>IF(L2地震動の有無="","","×")</f>
        <v/>
      </c>
      <c r="G113" s="138"/>
      <c r="H113" s="138"/>
      <c r="I113" s="138"/>
      <c r="J113" s="138"/>
      <c r="K113" s="138"/>
      <c r="L113" s="144" t="s">
        <v>67</v>
      </c>
      <c r="M113" s="145"/>
      <c r="N113" s="145"/>
      <c r="O113" s="145"/>
      <c r="P113" s="145"/>
      <c r="Q113" s="145"/>
      <c r="R113" s="145"/>
      <c r="S113" s="145"/>
      <c r="T113" s="146">
        <f>ROUND(P106*$T$112/$P$78,3)</f>
        <v>0.81499999999999995</v>
      </c>
      <c r="U113" s="147"/>
      <c r="V113" s="147"/>
      <c r="W113" s="147"/>
      <c r="X113" s="147"/>
    </row>
    <row r="114" spans="1:24" ht="19.5" customHeight="1" x14ac:dyDescent="0.15">
      <c r="A114" s="80" t="str">
        <f>IF(L2地震動の有無="","","×")</f>
        <v/>
      </c>
      <c r="G114" s="138"/>
      <c r="H114" s="138"/>
      <c r="I114" s="138"/>
      <c r="J114" s="138"/>
      <c r="K114" s="138"/>
      <c r="L114" s="144" t="s">
        <v>82</v>
      </c>
      <c r="M114" s="145"/>
      <c r="N114" s="145"/>
      <c r="O114" s="145"/>
      <c r="P114" s="145"/>
      <c r="Q114" s="145" t="s">
        <v>83</v>
      </c>
      <c r="R114" s="145"/>
      <c r="S114" s="145"/>
      <c r="T114" s="132">
        <f>IF(T113&lt;=$M$86,$V$86,IF(T113&gt;=$J$88,$V$88,$V$87*T113+$Z$87))</f>
        <v>0.87000000000000011</v>
      </c>
      <c r="U114" s="133"/>
      <c r="V114" s="133"/>
      <c r="W114" s="133"/>
      <c r="X114" s="133"/>
    </row>
    <row r="115" spans="1:24" ht="19.5" customHeight="1" x14ac:dyDescent="0.15">
      <c r="A115" s="80" t="str">
        <f>IF(L2地震動の有無="","","×")</f>
        <v/>
      </c>
      <c r="G115" s="139"/>
      <c r="H115" s="139"/>
      <c r="I115" s="139"/>
      <c r="J115" s="139"/>
      <c r="K115" s="139"/>
      <c r="L115" s="134" t="s">
        <v>84</v>
      </c>
      <c r="M115" s="135"/>
      <c r="N115" s="135"/>
      <c r="O115" s="135"/>
      <c r="P115" s="135"/>
      <c r="Q115" s="135" t="s">
        <v>83</v>
      </c>
      <c r="R115" s="135"/>
      <c r="S115" s="135"/>
      <c r="T115" s="136">
        <f>IF(T113&lt;=$M$90,$V$90,IF(T113&gt;=$J$92,$V$92,$V$91*T113+$Z$91))</f>
        <v>-0.12999999999999989</v>
      </c>
      <c r="U115" s="137"/>
      <c r="V115" s="137"/>
      <c r="W115" s="137"/>
      <c r="X115" s="137"/>
    </row>
    <row r="116" spans="1:24" ht="15.75" customHeight="1" x14ac:dyDescent="0.15">
      <c r="L116" s="81"/>
      <c r="M116" s="81"/>
      <c r="N116" s="81"/>
      <c r="O116" s="81"/>
      <c r="P116" s="81"/>
      <c r="Q116" s="81"/>
      <c r="R116" s="81"/>
      <c r="S116" s="81"/>
      <c r="T116" s="82"/>
      <c r="U116" s="82"/>
      <c r="V116" s="82"/>
      <c r="W116" s="82"/>
      <c r="X116" s="82"/>
    </row>
  </sheetData>
  <autoFilter ref="A1:A117"/>
  <dataConsolidate/>
  <mergeCells count="500">
    <mergeCell ref="Z9:AD9"/>
    <mergeCell ref="K10:M10"/>
    <mergeCell ref="N10:P10"/>
    <mergeCell ref="Q10:T10"/>
    <mergeCell ref="U10:Y10"/>
    <mergeCell ref="Z10:AD10"/>
    <mergeCell ref="E8:G11"/>
    <mergeCell ref="H8:J10"/>
    <mergeCell ref="K8:M9"/>
    <mergeCell ref="N8:P9"/>
    <mergeCell ref="Q8:T9"/>
    <mergeCell ref="U9:Y9"/>
    <mergeCell ref="H11:J11"/>
    <mergeCell ref="K11:M11"/>
    <mergeCell ref="N11:P11"/>
    <mergeCell ref="Q11:T11"/>
    <mergeCell ref="U11:Y11"/>
    <mergeCell ref="Z11:AD11"/>
    <mergeCell ref="E12:G12"/>
    <mergeCell ref="H12:J12"/>
    <mergeCell ref="K12:M12"/>
    <mergeCell ref="N12:P12"/>
    <mergeCell ref="Q12:T12"/>
    <mergeCell ref="U12:Y12"/>
    <mergeCell ref="Z12:AD12"/>
    <mergeCell ref="Z13:AD13"/>
    <mergeCell ref="E14:G14"/>
    <mergeCell ref="H14:J14"/>
    <mergeCell ref="K14:M14"/>
    <mergeCell ref="N14:P14"/>
    <mergeCell ref="Q14:T14"/>
    <mergeCell ref="U14:Y14"/>
    <mergeCell ref="Z14:AD14"/>
    <mergeCell ref="E13:G13"/>
    <mergeCell ref="H13:J13"/>
    <mergeCell ref="K13:M13"/>
    <mergeCell ref="N13:P13"/>
    <mergeCell ref="Q13:T13"/>
    <mergeCell ref="U13:Y13"/>
    <mergeCell ref="Z15:AD15"/>
    <mergeCell ref="E16:G16"/>
    <mergeCell ref="H16:J16"/>
    <mergeCell ref="K16:M16"/>
    <mergeCell ref="N16:P16"/>
    <mergeCell ref="Q16:T16"/>
    <mergeCell ref="U16:Y16"/>
    <mergeCell ref="Z16:AD16"/>
    <mergeCell ref="E15:G15"/>
    <mergeCell ref="H15:J15"/>
    <mergeCell ref="K15:M15"/>
    <mergeCell ref="N15:P15"/>
    <mergeCell ref="Q15:T15"/>
    <mergeCell ref="U15:Y15"/>
    <mergeCell ref="Z17:AD17"/>
    <mergeCell ref="E18:G18"/>
    <mergeCell ref="H18:J18"/>
    <mergeCell ref="K18:M18"/>
    <mergeCell ref="N18:P18"/>
    <mergeCell ref="Q18:T18"/>
    <mergeCell ref="U18:Y18"/>
    <mergeCell ref="Z18:AD18"/>
    <mergeCell ref="E17:G17"/>
    <mergeCell ref="H17:J17"/>
    <mergeCell ref="K17:M17"/>
    <mergeCell ref="N17:P17"/>
    <mergeCell ref="Q17:T17"/>
    <mergeCell ref="U17:Y17"/>
    <mergeCell ref="Z19:AD19"/>
    <mergeCell ref="E20:G20"/>
    <mergeCell ref="H20:J20"/>
    <mergeCell ref="K20:M20"/>
    <mergeCell ref="N20:P20"/>
    <mergeCell ref="Q20:T20"/>
    <mergeCell ref="U20:Y20"/>
    <mergeCell ref="Z20:AD20"/>
    <mergeCell ref="E19:G19"/>
    <mergeCell ref="H19:J19"/>
    <mergeCell ref="K19:M19"/>
    <mergeCell ref="N19:P19"/>
    <mergeCell ref="Q19:T19"/>
    <mergeCell ref="U19:Y19"/>
    <mergeCell ref="Z21:AD21"/>
    <mergeCell ref="E22:G22"/>
    <mergeCell ref="H22:J22"/>
    <mergeCell ref="K22:M22"/>
    <mergeCell ref="N22:P22"/>
    <mergeCell ref="Q22:T22"/>
    <mergeCell ref="U22:Y22"/>
    <mergeCell ref="Z22:AD22"/>
    <mergeCell ref="E21:G21"/>
    <mergeCell ref="H21:J21"/>
    <mergeCell ref="K21:M21"/>
    <mergeCell ref="N21:P21"/>
    <mergeCell ref="Q21:T21"/>
    <mergeCell ref="U21:Y21"/>
    <mergeCell ref="Z23:AD23"/>
    <mergeCell ref="E24:G24"/>
    <mergeCell ref="H24:J24"/>
    <mergeCell ref="K24:M24"/>
    <mergeCell ref="N24:P24"/>
    <mergeCell ref="Q24:T24"/>
    <mergeCell ref="U24:Y24"/>
    <mergeCell ref="Z24:AD24"/>
    <mergeCell ref="E23:G23"/>
    <mergeCell ref="H23:J23"/>
    <mergeCell ref="K23:M23"/>
    <mergeCell ref="N23:P23"/>
    <mergeCell ref="Q23:T23"/>
    <mergeCell ref="U23:Y23"/>
    <mergeCell ref="Z25:AD25"/>
    <mergeCell ref="E26:G26"/>
    <mergeCell ref="H26:J26"/>
    <mergeCell ref="K26:M26"/>
    <mergeCell ref="N26:P26"/>
    <mergeCell ref="Q26:T26"/>
    <mergeCell ref="U26:Y26"/>
    <mergeCell ref="Z26:AD26"/>
    <mergeCell ref="E25:G25"/>
    <mergeCell ref="H25:J25"/>
    <mergeCell ref="K25:M25"/>
    <mergeCell ref="N25:P25"/>
    <mergeCell ref="Q25:T25"/>
    <mergeCell ref="U25:Y25"/>
    <mergeCell ref="Z27:AD27"/>
    <mergeCell ref="E28:G28"/>
    <mergeCell ref="H28:J28"/>
    <mergeCell ref="K28:M28"/>
    <mergeCell ref="N28:P28"/>
    <mergeCell ref="Q28:T28"/>
    <mergeCell ref="U28:Y28"/>
    <mergeCell ref="Z28:AD28"/>
    <mergeCell ref="E27:G27"/>
    <mergeCell ref="H27:J27"/>
    <mergeCell ref="K27:M27"/>
    <mergeCell ref="N27:P27"/>
    <mergeCell ref="Q27:T27"/>
    <mergeCell ref="U27:Y27"/>
    <mergeCell ref="Z29:AD29"/>
    <mergeCell ref="E30:G30"/>
    <mergeCell ref="H30:J30"/>
    <mergeCell ref="K30:M30"/>
    <mergeCell ref="N30:P30"/>
    <mergeCell ref="Q30:T30"/>
    <mergeCell ref="U30:Y30"/>
    <mergeCell ref="Z30:AD30"/>
    <mergeCell ref="E29:G29"/>
    <mergeCell ref="H29:J29"/>
    <mergeCell ref="K29:M29"/>
    <mergeCell ref="N29:P29"/>
    <mergeCell ref="Q29:T29"/>
    <mergeCell ref="U29:Y29"/>
    <mergeCell ref="Z31:AD31"/>
    <mergeCell ref="E32:G32"/>
    <mergeCell ref="H32:J32"/>
    <mergeCell ref="K32:M32"/>
    <mergeCell ref="N32:P32"/>
    <mergeCell ref="Q32:T32"/>
    <mergeCell ref="U32:Y32"/>
    <mergeCell ref="Z32:AD32"/>
    <mergeCell ref="E31:G31"/>
    <mergeCell ref="H31:J31"/>
    <mergeCell ref="K31:M31"/>
    <mergeCell ref="N31:P31"/>
    <mergeCell ref="Q31:T31"/>
    <mergeCell ref="U31:Y31"/>
    <mergeCell ref="Z33:AD33"/>
    <mergeCell ref="E34:G34"/>
    <mergeCell ref="H34:J34"/>
    <mergeCell ref="K34:M34"/>
    <mergeCell ref="N34:P34"/>
    <mergeCell ref="Q34:T34"/>
    <mergeCell ref="U34:Y34"/>
    <mergeCell ref="Z34:AD34"/>
    <mergeCell ref="E33:G33"/>
    <mergeCell ref="H33:J33"/>
    <mergeCell ref="K33:M33"/>
    <mergeCell ref="N33:P33"/>
    <mergeCell ref="Q33:T33"/>
    <mergeCell ref="U33:Y33"/>
    <mergeCell ref="Z35:AD35"/>
    <mergeCell ref="E36:G36"/>
    <mergeCell ref="H36:J36"/>
    <mergeCell ref="K36:M36"/>
    <mergeCell ref="N36:P36"/>
    <mergeCell ref="Q36:T36"/>
    <mergeCell ref="U36:Y36"/>
    <mergeCell ref="Z36:AD36"/>
    <mergeCell ref="E35:G35"/>
    <mergeCell ref="H35:J35"/>
    <mergeCell ref="K35:M35"/>
    <mergeCell ref="N35:P35"/>
    <mergeCell ref="Q35:T35"/>
    <mergeCell ref="U35:Y35"/>
    <mergeCell ref="Z37:AD37"/>
    <mergeCell ref="E38:G38"/>
    <mergeCell ref="H38:J38"/>
    <mergeCell ref="K38:M38"/>
    <mergeCell ref="N38:P38"/>
    <mergeCell ref="Q38:T38"/>
    <mergeCell ref="U38:Y38"/>
    <mergeCell ref="Z38:AD38"/>
    <mergeCell ref="E37:G37"/>
    <mergeCell ref="H37:J37"/>
    <mergeCell ref="K37:M37"/>
    <mergeCell ref="N37:P37"/>
    <mergeCell ref="Q37:T37"/>
    <mergeCell ref="U37:Y37"/>
    <mergeCell ref="Z39:AD39"/>
    <mergeCell ref="E40:G40"/>
    <mergeCell ref="H40:J40"/>
    <mergeCell ref="K40:M40"/>
    <mergeCell ref="N40:P40"/>
    <mergeCell ref="Q40:T40"/>
    <mergeCell ref="U40:Y40"/>
    <mergeCell ref="Z40:AD40"/>
    <mergeCell ref="E39:G39"/>
    <mergeCell ref="H39:J39"/>
    <mergeCell ref="K39:M39"/>
    <mergeCell ref="N39:P39"/>
    <mergeCell ref="Q39:T39"/>
    <mergeCell ref="U39:Y39"/>
    <mergeCell ref="Z41:AD41"/>
    <mergeCell ref="E42:G42"/>
    <mergeCell ref="H42:J42"/>
    <mergeCell ref="K42:M42"/>
    <mergeCell ref="N42:P42"/>
    <mergeCell ref="Q42:T42"/>
    <mergeCell ref="U42:Y42"/>
    <mergeCell ref="Z42:AD42"/>
    <mergeCell ref="E41:G41"/>
    <mergeCell ref="H41:J41"/>
    <mergeCell ref="K41:M41"/>
    <mergeCell ref="N41:P41"/>
    <mergeCell ref="Q41:T41"/>
    <mergeCell ref="U41:Y41"/>
    <mergeCell ref="Z43:AD43"/>
    <mergeCell ref="E44:G44"/>
    <mergeCell ref="H44:J44"/>
    <mergeCell ref="K44:M44"/>
    <mergeCell ref="N44:P44"/>
    <mergeCell ref="Q44:T44"/>
    <mergeCell ref="U44:Y44"/>
    <mergeCell ref="Z44:AD44"/>
    <mergeCell ref="E43:G43"/>
    <mergeCell ref="H43:J43"/>
    <mergeCell ref="K43:M43"/>
    <mergeCell ref="N43:P43"/>
    <mergeCell ref="Q43:T43"/>
    <mergeCell ref="U43:Y43"/>
    <mergeCell ref="Z45:AD45"/>
    <mergeCell ref="E46:G46"/>
    <mergeCell ref="H46:J46"/>
    <mergeCell ref="K46:M46"/>
    <mergeCell ref="N46:P46"/>
    <mergeCell ref="Q46:T46"/>
    <mergeCell ref="U46:Y46"/>
    <mergeCell ref="Z46:AD46"/>
    <mergeCell ref="E45:G45"/>
    <mergeCell ref="H45:J45"/>
    <mergeCell ref="K45:M45"/>
    <mergeCell ref="N45:P45"/>
    <mergeCell ref="Q45:T45"/>
    <mergeCell ref="U45:Y45"/>
    <mergeCell ref="Z47:AD47"/>
    <mergeCell ref="E48:G48"/>
    <mergeCell ref="H48:J48"/>
    <mergeCell ref="K48:M48"/>
    <mergeCell ref="N48:P48"/>
    <mergeCell ref="Q48:T48"/>
    <mergeCell ref="U48:Y48"/>
    <mergeCell ref="Z48:AD48"/>
    <mergeCell ref="E47:G47"/>
    <mergeCell ref="H47:J47"/>
    <mergeCell ref="K47:M47"/>
    <mergeCell ref="N47:P47"/>
    <mergeCell ref="Q47:T47"/>
    <mergeCell ref="U47:Y47"/>
    <mergeCell ref="Z49:AD49"/>
    <mergeCell ref="E50:G50"/>
    <mergeCell ref="H50:J50"/>
    <mergeCell ref="K50:M50"/>
    <mergeCell ref="N50:P50"/>
    <mergeCell ref="Q50:T50"/>
    <mergeCell ref="U50:Y50"/>
    <mergeCell ref="Z50:AD50"/>
    <mergeCell ref="E49:G49"/>
    <mergeCell ref="H49:J49"/>
    <mergeCell ref="K49:M49"/>
    <mergeCell ref="N49:P49"/>
    <mergeCell ref="Q49:T49"/>
    <mergeCell ref="U49:Y49"/>
    <mergeCell ref="Z51:AD51"/>
    <mergeCell ref="E52:G52"/>
    <mergeCell ref="H52:J52"/>
    <mergeCell ref="K52:M52"/>
    <mergeCell ref="N52:P52"/>
    <mergeCell ref="Q52:T52"/>
    <mergeCell ref="U52:Y52"/>
    <mergeCell ref="Z52:AD52"/>
    <mergeCell ref="E51:G51"/>
    <mergeCell ref="H51:J51"/>
    <mergeCell ref="K51:M51"/>
    <mergeCell ref="N51:P51"/>
    <mergeCell ref="Q51:T51"/>
    <mergeCell ref="U51:Y51"/>
    <mergeCell ref="Z53:AD53"/>
    <mergeCell ref="E54:G54"/>
    <mergeCell ref="H54:J54"/>
    <mergeCell ref="K54:M54"/>
    <mergeCell ref="N54:P54"/>
    <mergeCell ref="Q54:T54"/>
    <mergeCell ref="U54:Y54"/>
    <mergeCell ref="Z54:AD54"/>
    <mergeCell ref="E53:G53"/>
    <mergeCell ref="H53:J53"/>
    <mergeCell ref="K53:M53"/>
    <mergeCell ref="N53:P53"/>
    <mergeCell ref="Q53:T53"/>
    <mergeCell ref="U53:Y53"/>
    <mergeCell ref="Z55:AD55"/>
    <mergeCell ref="E56:G56"/>
    <mergeCell ref="H56:J56"/>
    <mergeCell ref="K56:M56"/>
    <mergeCell ref="N56:P56"/>
    <mergeCell ref="Q56:T56"/>
    <mergeCell ref="U56:Y56"/>
    <mergeCell ref="Z56:AD56"/>
    <mergeCell ref="E55:G55"/>
    <mergeCell ref="H55:J55"/>
    <mergeCell ref="K55:M55"/>
    <mergeCell ref="N55:P55"/>
    <mergeCell ref="Q55:T55"/>
    <mergeCell ref="U55:Y55"/>
    <mergeCell ref="Z57:AD57"/>
    <mergeCell ref="E58:G58"/>
    <mergeCell ref="H58:J58"/>
    <mergeCell ref="K58:M58"/>
    <mergeCell ref="N58:P58"/>
    <mergeCell ref="Q58:T58"/>
    <mergeCell ref="U58:Y58"/>
    <mergeCell ref="Z58:AD58"/>
    <mergeCell ref="E57:G57"/>
    <mergeCell ref="H57:J57"/>
    <mergeCell ref="K57:M57"/>
    <mergeCell ref="N57:P57"/>
    <mergeCell ref="Q57:T57"/>
    <mergeCell ref="U57:Y57"/>
    <mergeCell ref="Z59:AD59"/>
    <mergeCell ref="E60:G60"/>
    <mergeCell ref="H60:J60"/>
    <mergeCell ref="K60:M60"/>
    <mergeCell ref="N60:P60"/>
    <mergeCell ref="Q60:T60"/>
    <mergeCell ref="U60:Y60"/>
    <mergeCell ref="Z60:AD60"/>
    <mergeCell ref="E59:G59"/>
    <mergeCell ref="H59:J59"/>
    <mergeCell ref="K59:M59"/>
    <mergeCell ref="N59:P59"/>
    <mergeCell ref="Q59:T59"/>
    <mergeCell ref="U59:Y59"/>
    <mergeCell ref="Z61:AD61"/>
    <mergeCell ref="E62:G62"/>
    <mergeCell ref="H62:J62"/>
    <mergeCell ref="K62:M62"/>
    <mergeCell ref="N62:P62"/>
    <mergeCell ref="Q62:T62"/>
    <mergeCell ref="U62:Y62"/>
    <mergeCell ref="Z62:AD62"/>
    <mergeCell ref="E61:G61"/>
    <mergeCell ref="H61:J61"/>
    <mergeCell ref="K61:M61"/>
    <mergeCell ref="N61:P61"/>
    <mergeCell ref="Q61:T61"/>
    <mergeCell ref="U61:Y61"/>
    <mergeCell ref="Z63:AD63"/>
    <mergeCell ref="E64:G64"/>
    <mergeCell ref="H64:J64"/>
    <mergeCell ref="K64:M64"/>
    <mergeCell ref="N64:P64"/>
    <mergeCell ref="Q64:T64"/>
    <mergeCell ref="U64:Y64"/>
    <mergeCell ref="Z64:AD64"/>
    <mergeCell ref="E63:G63"/>
    <mergeCell ref="H63:J63"/>
    <mergeCell ref="K63:M63"/>
    <mergeCell ref="N63:P63"/>
    <mergeCell ref="Q63:T63"/>
    <mergeCell ref="U63:Y63"/>
    <mergeCell ref="Z65:AD65"/>
    <mergeCell ref="E66:G66"/>
    <mergeCell ref="H66:J66"/>
    <mergeCell ref="K66:M66"/>
    <mergeCell ref="N66:P66"/>
    <mergeCell ref="Q66:T66"/>
    <mergeCell ref="U66:Y66"/>
    <mergeCell ref="Z66:AD66"/>
    <mergeCell ref="E65:G65"/>
    <mergeCell ref="H65:J65"/>
    <mergeCell ref="K65:M65"/>
    <mergeCell ref="N65:P65"/>
    <mergeCell ref="Q65:T65"/>
    <mergeCell ref="U65:Y65"/>
    <mergeCell ref="Z67:AD67"/>
    <mergeCell ref="E68:G68"/>
    <mergeCell ref="H68:J68"/>
    <mergeCell ref="K68:M68"/>
    <mergeCell ref="N68:P68"/>
    <mergeCell ref="Q68:T68"/>
    <mergeCell ref="U68:Y68"/>
    <mergeCell ref="Z68:AD68"/>
    <mergeCell ref="E67:G67"/>
    <mergeCell ref="H67:J67"/>
    <mergeCell ref="K67:M67"/>
    <mergeCell ref="N67:P67"/>
    <mergeCell ref="Q67:T67"/>
    <mergeCell ref="U67:Y67"/>
    <mergeCell ref="F78:M78"/>
    <mergeCell ref="N78:O78"/>
    <mergeCell ref="P78:S78"/>
    <mergeCell ref="J86:K86"/>
    <mergeCell ref="M86:N86"/>
    <mergeCell ref="S86:T86"/>
    <mergeCell ref="Z69:AD69"/>
    <mergeCell ref="E70:G70"/>
    <mergeCell ref="H70:J70"/>
    <mergeCell ref="K70:M70"/>
    <mergeCell ref="N70:P70"/>
    <mergeCell ref="Q70:T70"/>
    <mergeCell ref="U70:Y70"/>
    <mergeCell ref="Z70:AD70"/>
    <mergeCell ref="E69:G69"/>
    <mergeCell ref="H69:J69"/>
    <mergeCell ref="K69:M69"/>
    <mergeCell ref="N69:P69"/>
    <mergeCell ref="Q69:T69"/>
    <mergeCell ref="U69:Y69"/>
    <mergeCell ref="X87:Y87"/>
    <mergeCell ref="Z87:AA87"/>
    <mergeCell ref="J88:K88"/>
    <mergeCell ref="M88:N88"/>
    <mergeCell ref="S88:T88"/>
    <mergeCell ref="V88:W88"/>
    <mergeCell ref="V86:W86"/>
    <mergeCell ref="J87:K87"/>
    <mergeCell ref="M87:N87"/>
    <mergeCell ref="P87:Q87"/>
    <mergeCell ref="S87:T87"/>
    <mergeCell ref="V87:W87"/>
    <mergeCell ref="J90:K90"/>
    <mergeCell ref="M90:N90"/>
    <mergeCell ref="S90:T90"/>
    <mergeCell ref="V90:W90"/>
    <mergeCell ref="J91:K91"/>
    <mergeCell ref="M91:N91"/>
    <mergeCell ref="P91:Q91"/>
    <mergeCell ref="S91:T91"/>
    <mergeCell ref="V91:W91"/>
    <mergeCell ref="I94:J94"/>
    <mergeCell ref="I96:J97"/>
    <mergeCell ref="K96:K97"/>
    <mergeCell ref="L96:P96"/>
    <mergeCell ref="L97:P97"/>
    <mergeCell ref="I99:J99"/>
    <mergeCell ref="X91:Y91"/>
    <mergeCell ref="Z91:AA91"/>
    <mergeCell ref="J92:K92"/>
    <mergeCell ref="M92:N92"/>
    <mergeCell ref="S92:T92"/>
    <mergeCell ref="V92:W92"/>
    <mergeCell ref="T108:X108"/>
    <mergeCell ref="L109:P109"/>
    <mergeCell ref="Q109:S109"/>
    <mergeCell ref="T109:X109"/>
    <mergeCell ref="L110:P110"/>
    <mergeCell ref="Q110:S110"/>
    <mergeCell ref="T110:X110"/>
    <mergeCell ref="I100:J100"/>
    <mergeCell ref="I101:J101"/>
    <mergeCell ref="F106:M106"/>
    <mergeCell ref="P106:S106"/>
    <mergeCell ref="G108:K111"/>
    <mergeCell ref="L108:P108"/>
    <mergeCell ref="Q108:S108"/>
    <mergeCell ref="L111:P111"/>
    <mergeCell ref="Q111:S111"/>
    <mergeCell ref="T114:X114"/>
    <mergeCell ref="L115:P115"/>
    <mergeCell ref="Q115:S115"/>
    <mergeCell ref="T115:X115"/>
    <mergeCell ref="T111:X111"/>
    <mergeCell ref="G112:K115"/>
    <mergeCell ref="L112:P112"/>
    <mergeCell ref="Q112:S112"/>
    <mergeCell ref="T112:X112"/>
    <mergeCell ref="L113:P113"/>
    <mergeCell ref="Q113:S113"/>
    <mergeCell ref="T113:X113"/>
    <mergeCell ref="L114:P114"/>
    <mergeCell ref="Q114:S114"/>
  </mergeCells>
  <phoneticPr fontId="2"/>
  <dataValidations count="1">
    <dataValidation type="list" allowBlank="1" showInputMessage="1" showErrorMessage="1" sqref="F1 O1">
      <formula1>"×"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blackAndWhite="1" r:id="rId1"/>
  <headerFooter alignWithMargins="0"/>
  <rowBreaks count="1" manualBreakCount="1">
    <brk id="71" min="1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OTファイル作成_Click">
                <anchor moveWithCells="1" sizeWithCells="1">
                  <from>
                    <xdr:col>25</xdr:col>
                    <xdr:colOff>95250</xdr:colOff>
                    <xdr:row>2</xdr:row>
                    <xdr:rowOff>66675</xdr:rowOff>
                  </from>
                  <to>
                    <xdr:col>33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9AE5BA1-7DDC-4715-A0A8-71A422F22B9A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19</vt:i4>
      </vt:variant>
    </vt:vector>
  </HeadingPairs>
  <TitlesOfParts>
    <vt:vector size="23" baseType="lpstr">
      <vt:lpstr>ご利用方法</vt:lpstr>
      <vt:lpstr>入力 (1)</vt:lpstr>
      <vt:lpstr>入力 (2)</vt:lpstr>
      <vt:lpstr>変位</vt:lpstr>
      <vt:lpstr>変位!L1νL</vt:lpstr>
      <vt:lpstr>変位!L1νu</vt:lpstr>
      <vt:lpstr>変位!L1地震動の有無</vt:lpstr>
      <vt:lpstr>変位!L2νL</vt:lpstr>
      <vt:lpstr>変位!L2νu</vt:lpstr>
      <vt:lpstr>変位!L2地震動の有無</vt:lpstr>
      <vt:lpstr>変位!Print_Area</vt:lpstr>
      <vt:lpstr>変位!Teq</vt:lpstr>
      <vt:lpstr>変位!Tg</vt:lpstr>
      <vt:lpstr>'入力 (2)'!バージョン</vt:lpstr>
      <vt:lpstr>パスワード</vt:lpstr>
      <vt:lpstr>ユーザー名</vt:lpstr>
      <vt:lpstr>変位!応答変位Table</vt:lpstr>
      <vt:lpstr>'入力 (1)'!地域別係数</vt:lpstr>
      <vt:lpstr>'入力 (1)'!地盤の固有周期</vt:lpstr>
      <vt:lpstr>'入力 (1)'!入力Table</vt:lpstr>
      <vt:lpstr>'入力 (1)'!標準設計震度</vt:lpstr>
      <vt:lpstr>'入力 (1)'!変位量Table</vt:lpstr>
      <vt:lpstr>'入力 (2)'!連携ファイル設定Table</vt:lpstr>
    </vt:vector>
  </TitlesOfParts>
  <Company>（株）トーニチコンサルタント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社長室</dc:creator>
  <cp:lastModifiedBy>sasaco</cp:lastModifiedBy>
  <cp:lastPrinted>2017-07-26T01:20:54Z</cp:lastPrinted>
  <dcterms:created xsi:type="dcterms:W3CDTF">1997-12-09T00:45:52Z</dcterms:created>
  <dcterms:modified xsi:type="dcterms:W3CDTF">2017-08-04T02:00:08Z</dcterms:modified>
</cp:coreProperties>
</file>